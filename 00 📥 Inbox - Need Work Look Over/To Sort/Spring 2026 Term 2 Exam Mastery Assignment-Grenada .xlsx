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achitte1\Downloads\"/>
    </mc:Choice>
  </mc:AlternateContent>
  <xr:revisionPtr revIDLastSave="0" documentId="13_ncr:1_{45793FE1-BB3F-4DE1-8457-06857F56EF8B}" xr6:coauthVersionLast="47" xr6:coauthVersionMax="47" xr10:uidLastSave="{00000000-0000-0000-0000-000000000000}"/>
  <bookViews>
    <workbookView xWindow="-120" yWindow="-120" windowWidth="29040" windowHeight="15720" activeTab="3" xr2:uid="{71CA8513-44C5-43B7-9E69-AE2ECB66F73F}"/>
  </bookViews>
  <sheets>
    <sheet name="START HERE" sheetId="3" r:id="rId1"/>
    <sheet name="Profile" sheetId="1" r:id="rId2"/>
    <sheet name="Declaration" sheetId="8" r:id="rId3"/>
    <sheet name="Faculty"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6" i="1" l="1"/>
  <c r="H26" i="1"/>
  <c r="A4" i="1" l="1" a="1"/>
  <c r="A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<sst xmlns="http://schemas.openxmlformats.org/spreadsheetml/2006/main" count="184" uniqueCount="143">
  <si>
    <t xml:space="preserve">TERM 2 MASTERY </t>
  </si>
  <si>
    <t xml:space="preserve">The Basic Sciences Principles of Medicine 501 (BPM 501) course culminates in a comprehensive final examination (BSCE-2) that represents all of the curriculum delivered to you in the first year of basic sciences. Each discipline will be represented from the BPM1 and BPM2 courses. You should expect the BSCE-2 final examination to be formed from questions that have been presented throughout the first year of the basic sciences curriculum at SGU. </t>
  </si>
  <si>
    <t>Preparation for comprehensive examinations like Step 1 or the BSCE-2 examination requires you to spend time reflecting and assessing your strengths and weaknesses and develop a detailed, individualized study plan that covers the entire semester.</t>
  </si>
  <si>
    <t>Use the Profile tab to identify areas of strength and those that need development from previous exam mastery reports. Create a study plan to review and remediate content from previous terms utilizing the course Sakai sites, the IMCQs and practice questions from the terms, or any other review material you have found useful throughout the terms, e.g. First Aid or test kits such as UWorld, USMLE-Rx, or Pastest. Schedule time  to assess your learning needs and plans to address them; these will be unique to you.</t>
  </si>
  <si>
    <t>Use the Declaration tab to outline your plan in addressing areas of development. Please sign the Declaration by typing your name, student number, and the date to document, this is  your acknowledgement of the mastery template. Use the Faculty tab to contact content experts in different disciplines and categories via email.</t>
  </si>
  <si>
    <t>Fill in Rows 1 through 16 (see Column B for Row #) during the course. These rows can be completed by looking at your mastery report from the individual module exams of BPM 1 and 2 for content areas and overall exam performance. Your weighted mean percentage grade (WMPG) is calculated based on the course credit load indicated, and color-coded for risk.</t>
  </si>
  <si>
    <t>For Rows 1 to 16, fill in the percentage correct (numbers only, e.g., 75% is typed as 75) from your mastery report for each of the indicated NBME content areas.</t>
  </si>
  <si>
    <t>Term 1</t>
  </si>
  <si>
    <t>Term 2</t>
  </si>
  <si>
    <t>Comments</t>
  </si>
  <si>
    <t>Row #</t>
  </si>
  <si>
    <t>Exam 1</t>
  </si>
  <si>
    <t>Exam 2</t>
  </si>
  <si>
    <t>Exam 3</t>
  </si>
  <si>
    <t>Exam 4</t>
  </si>
  <si>
    <t>Exam 5</t>
  </si>
  <si>
    <t>General Principles</t>
  </si>
  <si>
    <t>Immune System</t>
  </si>
  <si>
    <t>Blood and Lymphoreticular System</t>
  </si>
  <si>
    <t>Behavioral Sciences</t>
  </si>
  <si>
    <t>Nervous System and Special Senses</t>
  </si>
  <si>
    <t>Skin and Subcutaneous Tissue</t>
  </si>
  <si>
    <t>Musculoskeletal System</t>
  </si>
  <si>
    <t>Cardiovascular System</t>
  </si>
  <si>
    <t>Respiratory System</t>
  </si>
  <si>
    <t>Gastrointestinal System</t>
  </si>
  <si>
    <t>Renal and Urinary System</t>
  </si>
  <si>
    <t>Pregnancy, Childbirth and the Puerperium</t>
  </si>
  <si>
    <t>Female Reproductive and Breast</t>
  </si>
  <si>
    <t>Male Reproductive</t>
  </si>
  <si>
    <t>Endocrine System</t>
  </si>
  <si>
    <t>Exam Score</t>
  </si>
  <si>
    <t>Overall Modular Exam Grade</t>
  </si>
  <si>
    <t>Credits</t>
  </si>
  <si>
    <t>WMPG</t>
  </si>
  <si>
    <t>*Target WMPG by end of Term 2: &gt; 82%</t>
  </si>
  <si>
    <t>Please indicate your areas of strength:</t>
  </si>
  <si>
    <t>Type here</t>
  </si>
  <si>
    <t>High Risk</t>
  </si>
  <si>
    <t>Med Risk</t>
  </si>
  <si>
    <t>Low Risk</t>
  </si>
  <si>
    <t>V Low Risk</t>
  </si>
  <si>
    <t>Please indicate your areas that require development:</t>
  </si>
  <si>
    <t xml:space="preserve">Type plans to address areas of development here </t>
  </si>
  <si>
    <t> </t>
  </si>
  <si>
    <t>Type plans to address areas of development here</t>
  </si>
  <si>
    <t>BSCE-2</t>
  </si>
  <si>
    <r>
      <t>Should you require support in addressing content areas you may contact faculty content experts directly( See faculty tab). For additional support please contact Academic Advising Development and Support(AADS)</t>
    </r>
    <r>
      <rPr>
        <b/>
        <u/>
        <sz val="12"/>
        <color rgb="FF00B0F0"/>
        <rFont val="Calibri"/>
        <family val="2"/>
      </rPr>
      <t>academicadvising@sgu.edu</t>
    </r>
  </si>
  <si>
    <t>DECLARATION</t>
  </si>
  <si>
    <t>I have thoroughly reviewed the mastery reports from previous examinations and I am fully aware of my strengths and weaknesses. I have outlined my plans to address my areas of development and I will commit to schedule time during the semester to remediate these areas. I am also aware that the BSCE-2 examination is comprehensive and I am responsible for formulating a study plan to prepare for the examination. I have reviewed the contact information of faculty and AADS and will utilize these resources when the need arises.</t>
  </si>
  <si>
    <t xml:space="preserve">Signed By:  </t>
  </si>
  <si>
    <t>Type Here</t>
  </si>
  <si>
    <t xml:space="preserve">LAST NAME </t>
  </si>
  <si>
    <t>FIRST NAME</t>
  </si>
  <si>
    <t>STUDENT NUMBER(A#)</t>
  </si>
  <si>
    <t>DATE SIGNED</t>
  </si>
  <si>
    <t>NBME categories</t>
  </si>
  <si>
    <t>Anatomy</t>
  </si>
  <si>
    <t>Physiology</t>
  </si>
  <si>
    <t>Histology</t>
  </si>
  <si>
    <t>Biochemistry</t>
  </si>
  <si>
    <t>Genetics</t>
  </si>
  <si>
    <t>Neuroscience</t>
  </si>
  <si>
    <t xml:space="preserve">Behavioral Science </t>
  </si>
  <si>
    <t xml:space="preserve">Name </t>
  </si>
  <si>
    <t>Email</t>
  </si>
  <si>
    <t>Esther Johnson/ Janine Paul/Gabrielle Walcott-Bedeau/Stephan Bandelow/Kamaria Jordon</t>
  </si>
  <si>
    <t>EJohnso3@sgu.edu/jpaul@sgu.edu/gwalcott@sgu.edu/bandelo@sgu.edu</t>
  </si>
  <si>
    <t>Chrystal Antoine-Frank</t>
  </si>
  <si>
    <t>cantoinef@sgu.edu</t>
  </si>
  <si>
    <t>Mohamed Idries/ Sharmila Upadhya</t>
  </si>
  <si>
    <t>midries@sgu.edu; shupadhya@sgu.edu</t>
  </si>
  <si>
    <t xml:space="preserve"> Mary Maj</t>
  </si>
  <si>
    <t xml:space="preserve"> mmaj@sgu.edu</t>
  </si>
  <si>
    <t>Blood, Lymphoreticular</t>
  </si>
  <si>
    <t>Maira DuPlessis; Chrystal Antoine-Frank, Ali Drigo</t>
  </si>
  <si>
    <t>Maira duPlessis</t>
  </si>
  <si>
    <t>mdupless@sgu.edu</t>
  </si>
  <si>
    <t>Sharmila Upadhya/Shellon Thomas</t>
  </si>
  <si>
    <t>SHUpadhya@sgu.edu/sthoma10@sgu.edu</t>
  </si>
  <si>
    <t>Behavioral Health</t>
  </si>
  <si>
    <t>Dr. Vineeta Ramnauth; Dr. Brenda Kirkby</t>
  </si>
  <si>
    <t>vnarain1@sgu.edu; bkirkby@sgu.edu</t>
  </si>
  <si>
    <t>Vineeta Naraine-Ramnauth</t>
  </si>
  <si>
    <t>vnarain1@sgu.edu</t>
  </si>
  <si>
    <t>Nervous System, Special Senses</t>
  </si>
  <si>
    <t>Drs. Stephen Onigbinde/Kevlian Andrew/Michael Montalbano/Maira du Plessis</t>
  </si>
  <si>
    <t>sonigbin@sgu.edu, kandrew4@sgu.edu, mmontal1@sgu.edu, mdupless@sgu.edu</t>
  </si>
  <si>
    <t>Ali Drigo</t>
  </si>
  <si>
    <t>adrigo@sgu.edu</t>
  </si>
  <si>
    <t>Duncan Kirkby/Noah Leton/Esther Johnson/Rohan J. Cummings/Juanette McKenzie/Alvin Chitterman/Janine Paul</t>
  </si>
  <si>
    <t>DKirkby@sgu.edu,NLeton@sgu.edu,EJohnson3@sgu.edu, RCumming@sgu.edu, jmckenzi@sgu.edu, achitte1@sgu.edu, jpaul@sgu.edu</t>
  </si>
  <si>
    <t>Skin, subcutaneous</t>
  </si>
  <si>
    <t>Deon Forrester</t>
  </si>
  <si>
    <t>Chrystelle Johnson</t>
  </si>
  <si>
    <t>cjohns15@sgu.edu</t>
  </si>
  <si>
    <t>Musculoskeletal</t>
  </si>
  <si>
    <t>Drs. Kazzara Raeburn/Kevlian Andrew/ Ramesh Rao/ Simone  Pierre/Rachael St. Bernard/Michael Montalbano/Ahmed Mahgoub</t>
  </si>
  <si>
    <t>KRaeburn1@sgu.edu/kandrew4@sgu.edu/rrao@sgu.edu/SPierre4@sgu.edu/RGeorge@sgu.edu/MMontal1@sgu.edu</t>
  </si>
  <si>
    <t>Janine Paul/ Subramanya Upadhya</t>
  </si>
  <si>
    <t>jpaul@sgu.edu/supadhya@sgu.edu</t>
  </si>
  <si>
    <t>Cardiovascular</t>
  </si>
  <si>
    <t>Drs. Mohamed Abdelrahim/Simone Pierre/Ramesh Rao</t>
  </si>
  <si>
    <t>mabdelra@sgu.edu/SPierre4@sgu.edu</t>
  </si>
  <si>
    <t>Gabrielle Walcott-Bedeau/ Esther Johnson/ Subramanya Upadhya</t>
  </si>
  <si>
    <t>gwalcott@sgu.edu/ EJohnso3@sgu.edu/SUpadhya@sgu.edu</t>
  </si>
  <si>
    <t>Shellon Thomas/ Sharmila Upadhya</t>
  </si>
  <si>
    <t>sthoma10@sgu.edu; shupadhya@sgu.edu</t>
  </si>
  <si>
    <t>Respiratory</t>
  </si>
  <si>
    <t>Dr. Abduraheem Farah</t>
  </si>
  <si>
    <t>afarah1@sgu.edu</t>
  </si>
  <si>
    <t>Juanette McKenzie/Subramanya Upadhya/Esther Johnson/Janine Paul</t>
  </si>
  <si>
    <t>jmckenzi@sgu.edu/Supadhya@sgu.edu/jpaul@sgu.edu/ejohso3@sgu.edu</t>
  </si>
  <si>
    <t>Stephen Onigbinde</t>
  </si>
  <si>
    <t>sonigbin@sgu.edu</t>
  </si>
  <si>
    <t>Gastrointestinal</t>
  </si>
  <si>
    <t>Drs. Stephen Onigbinde/Ramesh Rao/Maira du Plessis Simone Pierre</t>
  </si>
  <si>
    <t>sonigbin@sgu.edu, rrao@sgu.edu, mdupless@sgu.edu</t>
  </si>
  <si>
    <t>Alvin Chitterman/ Gabrielle Walcott-Bedeau/Janine Paul</t>
  </si>
  <si>
    <t>achitte1@sgu.edu/jpaul@sgu.edu</t>
  </si>
  <si>
    <t>Renal/Urinary</t>
  </si>
  <si>
    <t>Abduraheem Farah</t>
  </si>
  <si>
    <t xml:space="preserve"> Noah Leton/ Subramanya Upadhya</t>
  </si>
  <si>
    <t>NLeton@sgu.edu/Supadhya@sgu.edu</t>
  </si>
  <si>
    <t>Pregnancy, childbirth, Perineum</t>
  </si>
  <si>
    <t>Alvin Chitterman</t>
  </si>
  <si>
    <t>achitte1@sgu.edu</t>
  </si>
  <si>
    <t>Female Reproductive</t>
  </si>
  <si>
    <t>Drs. Kazzara Raeburn/Maira du Plessis Simone Pierre</t>
  </si>
  <si>
    <t>kraeburn1@sgu.edu/mdupless@sgu.edu</t>
  </si>
  <si>
    <t>Simone Pierre</t>
  </si>
  <si>
    <t>spierre4@sgu.edu</t>
  </si>
  <si>
    <t>Kevlian Andrew</t>
  </si>
  <si>
    <t>kandrew4@sgu.edu</t>
  </si>
  <si>
    <t>Endocrinology</t>
  </si>
  <si>
    <t>Drs. Kazzara Raeburn/Maira du Plessis</t>
  </si>
  <si>
    <t>Subramanya Upadhya/ Alvin Chitterman/Janine Paul</t>
  </si>
  <si>
    <t>SUpadhya@sgu.edu/achitte1@sgu.edu/jpaul@sgu.edu</t>
  </si>
  <si>
    <t>Chrystal Antoine-Frank/ Simone Pierre</t>
  </si>
  <si>
    <t>cantoinef@sgu.edu/spierre4@sgu.edu</t>
  </si>
  <si>
    <t>Mohamed Idries/ Shellon Thomas/Clayton Thomas/ Sharmila Upadhya</t>
  </si>
  <si>
    <t>midries@sgu.edu/sthoma10@sgu.edu/CTaylor2@sgu.edu/ shupadhya@sgu.edu</t>
  </si>
  <si>
    <r>
      <t xml:space="preserve">Submit as an </t>
    </r>
    <r>
      <rPr>
        <b/>
        <sz val="14"/>
        <color rgb="FF000000"/>
        <rFont val="Montserrat"/>
      </rPr>
      <t>Assignment</t>
    </r>
    <r>
      <rPr>
        <sz val="14"/>
        <color rgb="FF000000"/>
        <rFont val="Montserrat"/>
      </rPr>
      <t xml:space="preserve"> to the BPM 501 Sakai site </t>
    </r>
    <r>
      <rPr>
        <b/>
        <sz val="14"/>
        <color rgb="FF000000"/>
        <rFont val="Montserrat"/>
      </rPr>
      <t>on or before Tuesday, April 21st,  2026 at 11:55 pm AST.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</si>
</sst>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8"/>
      <name val="Calibri"/>
      <family val="2"/>
      <scheme val="minor"/>
    </font>
    <font>
      <sz val="11"/>
      <color rgb="FF9C0006"/>
      <name val="Calibri"/>
      <family val="2"/>
      <scheme val="minor"/>
    </font>
    <font>
      <u/>
      <sz val="11"/>
      <color theme="10"/>
      <name val="Calibri"/>
      <family val="2"/>
      <scheme val="minor"/>
    </font>
    <font>
      <sz val="11"/>
      <color theme="1"/>
      <name val="Montserrat"/>
    </font>
    <font>
      <b/>
      <sz val="22"/>
      <color theme="1"/>
      <name val="Montserrat"/>
    </font>
    <font>
      <sz val="14"/>
      <color theme="1"/>
      <name val="Montserrat"/>
    </font>
    <font>
      <sz val="10"/>
      <color theme="1"/>
      <name val="Montserrat"/>
    </font>
    <font>
      <b/>
      <sz val="10"/>
      <color theme="1"/>
      <name val="Montserrat"/>
    </font>
    <font>
      <sz val="10"/>
      <color rgb="FF9C0006"/>
      <name val="Montserrat"/>
    </font>
    <font>
      <b/>
      <sz val="11"/>
      <color theme="0"/>
      <name val="Calibri"/>
      <family val="2"/>
      <scheme val="minor"/>
    </font>
    <font>
      <b/>
      <sz val="11"/>
      <color theme="1"/>
      <name val="Calibri"/>
      <family val="2"/>
      <scheme val="minor"/>
    </font>
    <font>
      <b/>
      <sz val="11"/>
      <color theme="1"/>
      <name val="Calibri"/>
      <family val="2"/>
    </font>
    <font>
      <sz val="11"/>
      <color rgb="FF000000"/>
      <name val="Calibri"/>
      <family val="2"/>
    </font>
    <font>
      <sz val="14"/>
      <color rgb="FF000000"/>
      <name val="Montserrat"/>
    </font>
    <font>
      <b/>
      <sz val="14"/>
      <color rgb="FF000000"/>
      <name val="Montserrat"/>
    </font>
    <font>
      <b/>
      <sz val="11"/>
      <color rgb="FF444444"/>
      <name val="Calibri"/>
      <family val="2"/>
      <charset val="1"/>
    </font>
    <font>
      <b/>
      <sz val="11"/>
      <color rgb="FF000000"/>
      <name val="Calibri"/>
      <family val="2"/>
    </font>
    <font>
      <b/>
      <u/>
      <sz val="12"/>
      <color rgb="FF00B0F0"/>
      <name val="Calibri"/>
      <family val="2"/>
    </font>
    <font>
      <b/>
      <sz val="12"/>
      <color rgb="FF000000"/>
      <name val="Calibri"/>
      <family val="2"/>
    </font>
    <font>
      <b/>
      <sz val="12"/>
      <color rgb="FFFF0000"/>
      <name val="Calibri"/>
      <family val="2"/>
    </font>
    <font>
      <i/>
      <sz val="11"/>
      <color rgb="FF000000"/>
      <name val="Calibri"/>
      <family val="2"/>
    </font>
    <font>
      <sz val="9"/>
      <color theme="1"/>
      <name val="Arial"/>
      <family val="2"/>
    </font>
    <font>
      <b/>
      <sz val="11"/>
      <color rgb="FF000000"/>
      <name val="Aptos Narrow"/>
      <family val="2"/>
    </font>
  </fonts>
  <fills count="12">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rgb="FFFFC7CE"/>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rgb="FFFCE4D6"/>
        <bgColor rgb="FF000000"/>
      </patternFill>
    </fill>
    <fill>
      <patternFill patternType="solid">
        <fgColor rgb="FF92D050"/>
        <bgColor rgb="FF000000"/>
      </patternFill>
    </fill>
    <fill>
      <patternFill patternType="solid">
        <fgColor rgb="FFFFFF00"/>
        <bgColor indexed="64"/>
      </patternFill>
    </fill>
  </fills>
  <borders count="7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int="-0.14996795556505021"/>
      </top>
      <bottom style="thin">
        <color theme="0" tint="-0.149967955565050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style="medium">
        <color indexed="64"/>
      </right>
      <top style="medium">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indexed="64"/>
      </right>
      <top style="thin">
        <color theme="0" tint="-0.24994659260841701"/>
      </top>
      <bottom style="thin">
        <color theme="0" tint="-0.24994659260841701"/>
      </bottom>
      <diagonal/>
    </border>
    <border>
      <left/>
      <right style="thin">
        <color theme="0" tint="-0.24994659260841701"/>
      </right>
      <top style="medium">
        <color indexed="64"/>
      </top>
      <bottom style="medium">
        <color indexed="64"/>
      </bottom>
      <diagonal/>
    </border>
    <border>
      <left style="thin">
        <color theme="0" tint="-0.24994659260841701"/>
      </left>
      <right style="thin">
        <color theme="0" tint="-0.24994659260841701"/>
      </right>
      <top style="medium">
        <color indexed="64"/>
      </top>
      <bottom style="medium">
        <color indexed="64"/>
      </bottom>
      <diagonal/>
    </border>
    <border>
      <left style="thin">
        <color theme="0" tint="-0.24994659260841701"/>
      </left>
      <right/>
      <top style="medium">
        <color indexed="64"/>
      </top>
      <bottom style="medium">
        <color indexed="64"/>
      </bottom>
      <diagonal/>
    </border>
    <border>
      <left style="medium">
        <color indexed="64"/>
      </left>
      <right style="thin">
        <color theme="0" tint="-0.24994659260841701"/>
      </right>
      <top style="medium">
        <color indexed="64"/>
      </top>
      <bottom style="medium">
        <color indexed="64"/>
      </bottom>
      <diagonal/>
    </border>
    <border>
      <left style="medium">
        <color auto="1"/>
      </left>
      <right/>
      <top style="thin">
        <color theme="0" tint="-0.14996795556505021"/>
      </top>
      <bottom style="thin">
        <color theme="0" tint="-0.14996795556505021"/>
      </bottom>
      <diagonal/>
    </border>
    <border>
      <left/>
      <right style="medium">
        <color auto="1"/>
      </right>
      <top style="thin">
        <color theme="0" tint="-0.14996795556505021"/>
      </top>
      <bottom style="thin">
        <color theme="0" tint="-0.14996795556505021"/>
      </bottom>
      <diagonal/>
    </border>
    <border>
      <left style="medium">
        <color auto="1"/>
      </left>
      <right/>
      <top style="thin">
        <color theme="0" tint="-0.14996795556505021"/>
      </top>
      <bottom style="medium">
        <color auto="1"/>
      </bottom>
      <diagonal/>
    </border>
    <border>
      <left/>
      <right/>
      <top style="thin">
        <color theme="0" tint="-0.14996795556505021"/>
      </top>
      <bottom style="medium">
        <color auto="1"/>
      </bottom>
      <diagonal/>
    </border>
    <border>
      <left/>
      <right style="medium">
        <color auto="1"/>
      </right>
      <top style="thin">
        <color theme="0" tint="-0.14996795556505021"/>
      </top>
      <bottom style="medium">
        <color auto="1"/>
      </bottom>
      <diagonal/>
    </border>
    <border>
      <left style="medium">
        <color auto="1"/>
      </left>
      <right/>
      <top/>
      <bottom style="thin">
        <color theme="0" tint="-0.14996795556505021"/>
      </bottom>
      <diagonal/>
    </border>
    <border>
      <left/>
      <right/>
      <top/>
      <bottom style="thin">
        <color theme="0" tint="-0.14996795556505021"/>
      </bottom>
      <diagonal/>
    </border>
    <border>
      <left/>
      <right style="medium">
        <color auto="1"/>
      </right>
      <top/>
      <bottom style="thin">
        <color theme="0" tint="-0.14996795556505021"/>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rgb="FF000000"/>
      </right>
      <top style="medium">
        <color indexed="64"/>
      </top>
      <bottom/>
      <diagonal/>
    </border>
    <border>
      <left/>
      <right style="medium">
        <color rgb="FF000000"/>
      </right>
      <top/>
      <bottom/>
      <diagonal/>
    </border>
    <border>
      <left style="medium">
        <color indexed="64"/>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rgb="FF000000"/>
      </right>
      <top style="thin">
        <color indexed="64"/>
      </top>
      <bottom/>
      <diagonal/>
    </border>
    <border>
      <left style="thin">
        <color indexed="64"/>
      </left>
      <right/>
      <top/>
      <bottom/>
      <diagonal/>
    </border>
    <border>
      <left/>
      <right style="thin">
        <color rgb="FF000000"/>
      </right>
      <top/>
      <bottom/>
      <diagonal/>
    </border>
    <border>
      <left/>
      <right/>
      <top/>
      <bottom style="thin">
        <color indexed="64"/>
      </bottom>
      <diagonal/>
    </border>
    <border>
      <left/>
      <right style="thin">
        <color rgb="FF000000"/>
      </right>
      <top/>
      <bottom style="thin">
        <color indexed="64"/>
      </bottom>
      <diagonal/>
    </border>
    <border>
      <left/>
      <right/>
      <top style="medium">
        <color rgb="FF000000"/>
      </top>
      <bottom/>
      <diagonal/>
    </border>
    <border>
      <left/>
      <right style="medium">
        <color rgb="FF000000"/>
      </right>
      <top style="medium">
        <color rgb="FF000000"/>
      </top>
      <bottom/>
      <diagonal/>
    </border>
    <border>
      <left style="thin">
        <color theme="0" tint="-0.24994659260841701"/>
      </left>
      <right/>
      <top style="thin">
        <color theme="0" tint="-0.24994659260841701"/>
      </top>
      <bottom style="thin">
        <color theme="0" tint="-0.24994659260841701"/>
      </bottom>
      <diagonal/>
    </border>
    <border>
      <left style="medium">
        <color indexed="64"/>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top style="medium">
        <color rgb="FF000000"/>
      </top>
      <bottom style="medium">
        <color indexed="64"/>
      </bottom>
      <diagonal/>
    </border>
    <border>
      <left/>
      <right style="thin">
        <color indexed="64"/>
      </right>
      <top/>
      <bottom/>
      <diagonal/>
    </border>
    <border>
      <left style="thin">
        <color rgb="FF000000"/>
      </left>
      <right/>
      <top/>
      <bottom/>
      <diagonal/>
    </border>
    <border>
      <left style="thin">
        <color rgb="FF000000"/>
      </left>
      <right/>
      <top style="thin">
        <color indexed="64"/>
      </top>
      <bottom/>
      <diagonal/>
    </border>
    <border>
      <left style="thin">
        <color rgb="FF000000"/>
      </left>
      <right/>
      <top/>
      <bottom style="thin">
        <color indexed="64"/>
      </bottom>
      <diagonal/>
    </border>
    <border>
      <left style="medium">
        <color indexed="64"/>
      </left>
      <right/>
      <top style="medium">
        <color rgb="FF000000"/>
      </top>
      <bottom/>
      <diagonal/>
    </border>
  </borders>
  <cellStyleXfs count="3">
    <xf numFmtId="0" fontId="0" fillId="0" borderId="0"/>
    <xf numFmtId="0" fontId="2" fillId="5" borderId="0" applyNumberFormat="0" applyBorder="0" applyAlignment="0" applyProtection="0"/>
    <xf numFmtId="0" fontId="3" fillId="0" borderId="0" applyNumberFormat="0" applyFill="0" applyBorder="0" applyAlignment="0" applyProtection="0"/>
  </cellStyleXfs>
  <cellXfs count="171">
    <xf numFmtId="0" fontId="0" fillId="0" borderId="0" xfId="0"/>
    <xf numFmtId="0" fontId="4" fillId="0" borderId="9" xfId="0" applyFont="1" applyBorder="1"/>
    <xf numFmtId="0" fontId="4" fillId="0" borderId="12" xfId="0" applyFont="1" applyBorder="1"/>
    <xf numFmtId="0" fontId="4" fillId="0" borderId="10" xfId="0" applyFont="1" applyBorder="1"/>
    <xf numFmtId="0" fontId="4" fillId="0" borderId="11" xfId="0" applyFont="1" applyBorder="1"/>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9" xfId="0" applyFont="1" applyBorder="1" applyAlignment="1">
      <alignment horizontal="left" vertical="center"/>
    </xf>
    <xf numFmtId="0" fontId="4" fillId="0" borderId="13" xfId="0" applyFont="1" applyBorder="1"/>
    <xf numFmtId="0" fontId="7" fillId="0" borderId="20" xfId="0" applyFont="1" applyBorder="1" applyProtection="1">
      <protection locked="0"/>
    </xf>
    <xf numFmtId="0" fontId="7" fillId="0" borderId="21" xfId="0" applyFont="1" applyBorder="1" applyProtection="1">
      <protection locked="0"/>
    </xf>
    <xf numFmtId="0" fontId="7" fillId="0" borderId="19" xfId="0" applyFont="1" applyBorder="1" applyProtection="1">
      <protection locked="0"/>
    </xf>
    <xf numFmtId="0" fontId="7" fillId="0" borderId="23" xfId="0" applyFont="1" applyBorder="1" applyProtection="1">
      <protection locked="0"/>
    </xf>
    <xf numFmtId="0" fontId="7" fillId="0" borderId="24" xfId="0" applyFont="1" applyBorder="1" applyProtection="1">
      <protection locked="0"/>
    </xf>
    <xf numFmtId="0" fontId="7" fillId="0" borderId="22" xfId="0" applyFont="1" applyBorder="1" applyProtection="1">
      <protection locked="0"/>
    </xf>
    <xf numFmtId="0" fontId="7" fillId="4" borderId="28" xfId="0" applyFont="1" applyFill="1" applyBorder="1" applyProtection="1">
      <protection locked="0"/>
    </xf>
    <xf numFmtId="0" fontId="7" fillId="4" borderId="26" xfId="0" applyFont="1" applyFill="1" applyBorder="1" applyProtection="1">
      <protection locked="0"/>
    </xf>
    <xf numFmtId="0" fontId="8" fillId="0" borderId="15" xfId="0" applyFont="1" applyBorder="1" applyProtection="1">
      <protection locked="0"/>
    </xf>
    <xf numFmtId="0" fontId="7" fillId="3" borderId="0" xfId="0" applyFont="1" applyFill="1"/>
    <xf numFmtId="0" fontId="8" fillId="3" borderId="0" xfId="0" applyFont="1" applyFill="1"/>
    <xf numFmtId="0" fontId="7" fillId="0" borderId="0" xfId="0" applyFont="1"/>
    <xf numFmtId="0" fontId="8" fillId="3" borderId="0" xfId="0" applyFont="1" applyFill="1" applyAlignment="1">
      <alignment vertical="center" wrapText="1"/>
    </xf>
    <xf numFmtId="0" fontId="7" fillId="3" borderId="0" xfId="0" applyFont="1" applyFill="1" applyAlignment="1">
      <alignment horizontal="center"/>
    </xf>
    <xf numFmtId="2" fontId="8" fillId="4" borderId="15" xfId="0" applyNumberFormat="1" applyFont="1" applyFill="1" applyBorder="1"/>
    <xf numFmtId="0" fontId="9" fillId="5" borderId="0" xfId="1" applyFont="1" applyProtection="1"/>
    <xf numFmtId="0" fontId="7" fillId="6" borderId="0" xfId="0" applyFont="1" applyFill="1"/>
    <xf numFmtId="0" fontId="7" fillId="4" borderId="0" xfId="0" applyFont="1" applyFill="1"/>
    <xf numFmtId="0" fontId="7" fillId="7" borderId="0" xfId="0" applyFont="1" applyFill="1"/>
    <xf numFmtId="0" fontId="7" fillId="4" borderId="25" xfId="0" applyFont="1" applyFill="1" applyBorder="1" applyProtection="1">
      <protection locked="0"/>
    </xf>
    <xf numFmtId="0" fontId="7" fillId="4" borderId="27" xfId="0" applyFont="1" applyFill="1" applyBorder="1" applyProtection="1">
      <protection locked="0"/>
    </xf>
    <xf numFmtId="0" fontId="10" fillId="8" borderId="41" xfId="0" applyFont="1" applyFill="1" applyBorder="1"/>
    <xf numFmtId="0" fontId="10" fillId="8" borderId="42" xfId="0" applyFont="1" applyFill="1" applyBorder="1"/>
    <xf numFmtId="0" fontId="10" fillId="8" borderId="43" xfId="0" applyFont="1" applyFill="1" applyBorder="1"/>
    <xf numFmtId="0" fontId="11" fillId="0" borderId="44" xfId="0" applyFont="1" applyBorder="1"/>
    <xf numFmtId="0" fontId="11" fillId="0" borderId="45" xfId="0" applyFont="1" applyBorder="1"/>
    <xf numFmtId="0" fontId="0" fillId="0" borderId="46" xfId="0" applyBorder="1"/>
    <xf numFmtId="0" fontId="12" fillId="0" borderId="0" xfId="0" applyFont="1"/>
    <xf numFmtId="0" fontId="3" fillId="0" borderId="46" xfId="2" applyBorder="1"/>
    <xf numFmtId="0" fontId="0" fillId="0" borderId="45" xfId="0" applyBorder="1"/>
    <xf numFmtId="0" fontId="3" fillId="0" borderId="47" xfId="2" applyBorder="1"/>
    <xf numFmtId="0" fontId="0" fillId="0" borderId="48" xfId="0" applyBorder="1"/>
    <xf numFmtId="0" fontId="0" fillId="0" borderId="49" xfId="0" applyBorder="1"/>
    <xf numFmtId="0" fontId="0" fillId="0" borderId="50" xfId="0" applyBorder="1"/>
    <xf numFmtId="0" fontId="3" fillId="0" borderId="51" xfId="2" applyBorder="1"/>
    <xf numFmtId="0" fontId="11" fillId="0" borderId="50" xfId="0" applyFont="1" applyBorder="1"/>
    <xf numFmtId="0" fontId="0" fillId="0" borderId="51" xfId="0" applyBorder="1"/>
    <xf numFmtId="0" fontId="0" fillId="0" borderId="37" xfId="0" applyBorder="1"/>
    <xf numFmtId="0" fontId="0" fillId="0" borderId="52" xfId="0" applyBorder="1"/>
    <xf numFmtId="0" fontId="3" fillId="0" borderId="0" xfId="2"/>
    <xf numFmtId="0" fontId="13" fillId="0" borderId="48" xfId="0" applyFont="1" applyBorder="1"/>
    <xf numFmtId="0" fontId="16" fillId="0" borderId="0" xfId="0" applyFont="1"/>
    <xf numFmtId="0" fontId="17" fillId="0" borderId="0" xfId="0" applyFont="1"/>
    <xf numFmtId="0" fontId="7" fillId="0" borderId="67" xfId="0" applyFont="1" applyBorder="1" applyProtection="1">
      <protection locked="0"/>
    </xf>
    <xf numFmtId="0" fontId="7" fillId="0" borderId="68" xfId="0" applyFont="1" applyBorder="1" applyProtection="1">
      <protection locked="0"/>
    </xf>
    <xf numFmtId="0" fontId="7" fillId="0" borderId="69" xfId="0" applyFont="1" applyBorder="1" applyProtection="1">
      <protection locked="0"/>
    </xf>
    <xf numFmtId="0" fontId="7" fillId="0" borderId="70" xfId="0" applyFont="1" applyBorder="1" applyProtection="1">
      <protection locked="0"/>
    </xf>
    <xf numFmtId="0" fontId="8" fillId="2" borderId="4" xfId="0" applyFont="1" applyFill="1" applyBorder="1" applyAlignment="1">
      <alignment horizontal="center"/>
    </xf>
    <xf numFmtId="0" fontId="8" fillId="2" borderId="5" xfId="0" applyFont="1" applyFill="1" applyBorder="1" applyAlignment="1">
      <alignment horizontal="center"/>
    </xf>
    <xf numFmtId="0" fontId="8" fillId="2" borderId="6" xfId="0" applyFont="1" applyFill="1" applyBorder="1" applyAlignment="1">
      <alignment horizontal="center"/>
    </xf>
    <xf numFmtId="0" fontId="22" fillId="0" borderId="0" xfId="0" applyFont="1"/>
    <xf numFmtId="0" fontId="23" fillId="0" borderId="0" xfId="0" applyFont="1"/>
    <xf numFmtId="0" fontId="3" fillId="0" borderId="51" xfId="2" applyFill="1" applyBorder="1" applyAlignment="1"/>
    <xf numFmtId="0" fontId="3" fillId="0" borderId="46" xfId="2" applyFill="1" applyBorder="1" applyAlignment="1"/>
    <xf numFmtId="0" fontId="13" fillId="0" borderId="0" xfId="0" applyFont="1"/>
    <xf numFmtId="0" fontId="17" fillId="0" borderId="50" xfId="0" applyFont="1" applyBorder="1"/>
    <xf numFmtId="0" fontId="6" fillId="0" borderId="34" xfId="0" applyFont="1" applyBorder="1" applyAlignment="1">
      <alignment horizontal="left" vertical="center" wrapText="1"/>
    </xf>
    <xf numFmtId="0" fontId="6" fillId="0" borderId="35" xfId="0" applyFont="1" applyBorder="1" applyAlignment="1">
      <alignment horizontal="left" vertical="center" wrapText="1"/>
    </xf>
    <xf numFmtId="0" fontId="6" fillId="0" borderId="36" xfId="0" applyFont="1" applyBorder="1" applyAlignment="1">
      <alignment horizontal="left" vertical="center" wrapText="1"/>
    </xf>
    <xf numFmtId="0" fontId="6" fillId="0" borderId="29" xfId="0" applyFont="1" applyBorder="1" applyAlignment="1">
      <alignment horizontal="left" vertical="center" wrapText="1"/>
    </xf>
    <xf numFmtId="0" fontId="6" fillId="0" borderId="14" xfId="0" applyFont="1" applyBorder="1" applyAlignment="1">
      <alignment horizontal="left" vertical="center" wrapText="1"/>
    </xf>
    <xf numFmtId="0" fontId="6" fillId="0" borderId="30" xfId="0" applyFont="1" applyBorder="1" applyAlignment="1">
      <alignment horizontal="left" vertical="center" wrapText="1"/>
    </xf>
    <xf numFmtId="0" fontId="14" fillId="0" borderId="31" xfId="0" applyFont="1" applyBorder="1" applyAlignment="1">
      <alignment horizontal="left" vertical="center" wrapText="1"/>
    </xf>
    <xf numFmtId="0" fontId="6" fillId="0" borderId="32" xfId="0" applyFont="1" applyBorder="1" applyAlignment="1">
      <alignment horizontal="left" vertical="center" wrapText="1"/>
    </xf>
    <xf numFmtId="0" fontId="6" fillId="0" borderId="33" xfId="0" applyFont="1" applyBorder="1" applyAlignment="1">
      <alignment horizontal="left"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6" fillId="0" borderId="31" xfId="0" applyFont="1" applyBorder="1" applyAlignment="1">
      <alignment horizontal="left" vertical="center" wrapText="1"/>
    </xf>
    <xf numFmtId="0" fontId="7" fillId="0" borderId="1" xfId="0" applyFont="1" applyBorder="1" applyAlignment="1" applyProtection="1">
      <alignment horizontal="center"/>
      <protection locked="0"/>
    </xf>
    <xf numFmtId="0" fontId="7" fillId="0" borderId="2" xfId="0" applyFont="1" applyBorder="1" applyAlignment="1" applyProtection="1">
      <alignment horizontal="center"/>
      <protection locked="0"/>
    </xf>
    <xf numFmtId="0" fontId="7" fillId="0" borderId="3" xfId="0" applyFont="1" applyBorder="1" applyAlignment="1" applyProtection="1">
      <alignment horizontal="center"/>
      <protection locked="0"/>
    </xf>
    <xf numFmtId="0" fontId="7" fillId="0" borderId="7" xfId="0" applyFont="1" applyBorder="1" applyAlignment="1" applyProtection="1">
      <alignment horizontal="center"/>
      <protection locked="0"/>
    </xf>
    <xf numFmtId="0" fontId="7" fillId="0" borderId="0" xfId="0" applyFont="1" applyAlignment="1" applyProtection="1">
      <alignment horizontal="center"/>
      <protection locked="0"/>
    </xf>
    <xf numFmtId="0" fontId="7" fillId="0" borderId="8" xfId="0" applyFont="1" applyBorder="1" applyAlignment="1" applyProtection="1">
      <alignment horizontal="center"/>
      <protection locked="0"/>
    </xf>
    <xf numFmtId="0" fontId="8" fillId="4" borderId="16" xfId="0" applyFont="1" applyFill="1" applyBorder="1" applyAlignment="1">
      <alignment horizontal="left" vertical="center" wrapText="1"/>
    </xf>
    <xf numFmtId="0" fontId="8" fillId="4" borderId="17" xfId="0" applyFont="1" applyFill="1" applyBorder="1" applyAlignment="1">
      <alignment horizontal="left" vertical="center" wrapText="1"/>
    </xf>
    <xf numFmtId="0" fontId="8" fillId="4" borderId="18" xfId="0" applyFont="1" applyFill="1" applyBorder="1" applyAlignment="1">
      <alignment horizontal="left" vertical="center" wrapText="1"/>
    </xf>
    <xf numFmtId="0" fontId="8" fillId="4" borderId="16" xfId="0" applyFont="1" applyFill="1" applyBorder="1" applyAlignment="1">
      <alignment horizontal="left" vertical="center"/>
    </xf>
    <xf numFmtId="0" fontId="8" fillId="4" borderId="17" xfId="0" applyFont="1" applyFill="1" applyBorder="1" applyAlignment="1">
      <alignment horizontal="left" vertical="center"/>
    </xf>
    <xf numFmtId="0" fontId="8" fillId="4" borderId="18" xfId="0" applyFont="1" applyFill="1" applyBorder="1" applyAlignment="1">
      <alignment horizontal="left" vertical="center"/>
    </xf>
    <xf numFmtId="0" fontId="8" fillId="2" borderId="1" xfId="0" applyFont="1" applyFill="1" applyBorder="1" applyAlignment="1">
      <alignment horizontal="center"/>
    </xf>
    <xf numFmtId="0" fontId="8" fillId="2" borderId="2" xfId="0" applyFont="1" applyFill="1" applyBorder="1" applyAlignment="1">
      <alignment horizontal="center"/>
    </xf>
    <xf numFmtId="0" fontId="8" fillId="2" borderId="3" xfId="0" applyFont="1" applyFill="1" applyBorder="1" applyAlignment="1">
      <alignment horizontal="center"/>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3" borderId="0" xfId="0" applyFont="1" applyFill="1" applyAlignment="1">
      <alignment horizontal="left" vertical="center"/>
    </xf>
    <xf numFmtId="0" fontId="8" fillId="3" borderId="8" xfId="0" applyFont="1" applyFill="1" applyBorder="1" applyAlignment="1">
      <alignment horizontal="left" vertical="center"/>
    </xf>
    <xf numFmtId="0" fontId="7" fillId="0" borderId="1" xfId="0" applyFont="1" applyBorder="1" applyAlignment="1" applyProtection="1">
      <alignment horizontal="left" vertical="top" wrapText="1"/>
      <protection locked="0"/>
    </xf>
    <xf numFmtId="0" fontId="7" fillId="0" borderId="2" xfId="0" applyFont="1" applyBorder="1" applyAlignment="1" applyProtection="1">
      <alignment horizontal="left" vertical="top" wrapText="1"/>
      <protection locked="0"/>
    </xf>
    <xf numFmtId="0" fontId="7" fillId="0" borderId="3" xfId="0" applyFont="1" applyBorder="1" applyAlignment="1" applyProtection="1">
      <alignment horizontal="left" vertical="top" wrapText="1"/>
      <protection locked="0"/>
    </xf>
    <xf numFmtId="0" fontId="7" fillId="0" borderId="7" xfId="0" applyFont="1" applyBorder="1" applyAlignment="1" applyProtection="1">
      <alignment horizontal="left" vertical="top" wrapText="1"/>
      <protection locked="0"/>
    </xf>
    <xf numFmtId="0" fontId="7" fillId="0" borderId="0" xfId="0" applyFont="1" applyAlignment="1" applyProtection="1">
      <alignment horizontal="left" vertical="top" wrapText="1"/>
      <protection locked="0"/>
    </xf>
    <xf numFmtId="0" fontId="7" fillId="0" borderId="8" xfId="0" applyFont="1" applyBorder="1" applyAlignment="1" applyProtection="1">
      <alignment horizontal="left" vertical="top" wrapText="1"/>
      <protection locked="0"/>
    </xf>
    <xf numFmtId="0" fontId="7" fillId="0" borderId="4" xfId="0" applyFont="1" applyBorder="1" applyAlignment="1" applyProtection="1">
      <alignment horizontal="left" vertical="top" wrapText="1"/>
      <protection locked="0"/>
    </xf>
    <xf numFmtId="0" fontId="7" fillId="0" borderId="5" xfId="0" applyFont="1" applyBorder="1" applyAlignment="1" applyProtection="1">
      <alignment horizontal="left" vertical="top" wrapText="1"/>
      <protection locked="0"/>
    </xf>
    <xf numFmtId="0" fontId="7" fillId="0" borderId="6" xfId="0" applyFont="1" applyBorder="1" applyAlignment="1" applyProtection="1">
      <alignment horizontal="left" vertical="top" wrapText="1"/>
      <protection locked="0"/>
    </xf>
    <xf numFmtId="0" fontId="7" fillId="0" borderId="4" xfId="0" applyFont="1" applyBorder="1" applyAlignment="1" applyProtection="1">
      <alignment horizontal="center"/>
      <protection locked="0"/>
    </xf>
    <xf numFmtId="0" fontId="7" fillId="0" borderId="5" xfId="0" applyFont="1" applyBorder="1" applyAlignment="1" applyProtection="1">
      <alignment horizontal="center"/>
      <protection locked="0"/>
    </xf>
    <xf numFmtId="0" fontId="7" fillId="0" borderId="6" xfId="0" applyFont="1" applyBorder="1" applyAlignment="1" applyProtection="1">
      <alignment horizontal="center"/>
      <protection locked="0"/>
    </xf>
    <xf numFmtId="0" fontId="13" fillId="0" borderId="0" xfId="0" applyFont="1" applyAlignment="1">
      <alignment horizontal="center"/>
    </xf>
    <xf numFmtId="0" fontId="17" fillId="11" borderId="0" xfId="0" applyFont="1" applyFill="1" applyAlignment="1">
      <alignment horizontal="center" vertical="center"/>
    </xf>
    <xf numFmtId="0" fontId="17" fillId="11" borderId="72" xfId="0" applyFont="1" applyFill="1" applyBorder="1" applyAlignment="1">
      <alignment horizontal="center" vertical="center"/>
    </xf>
    <xf numFmtId="0" fontId="13" fillId="0" borderId="8" xfId="0" applyFont="1" applyBorder="1" applyAlignment="1">
      <alignment horizontal="center"/>
    </xf>
    <xf numFmtId="0" fontId="19" fillId="9" borderId="7" xfId="0" applyFont="1" applyFill="1" applyBorder="1" applyAlignment="1">
      <alignment wrapText="1"/>
    </xf>
    <xf numFmtId="0" fontId="19" fillId="9" borderId="0" xfId="0" applyFont="1" applyFill="1" applyAlignment="1">
      <alignment wrapText="1"/>
    </xf>
    <xf numFmtId="0" fontId="19" fillId="9" borderId="8" xfId="0" applyFont="1" applyFill="1" applyBorder="1" applyAlignment="1">
      <alignment wrapText="1"/>
    </xf>
    <xf numFmtId="0" fontId="19" fillId="9" borderId="4" xfId="0" applyFont="1" applyFill="1" applyBorder="1" applyAlignment="1">
      <alignment wrapText="1"/>
    </xf>
    <xf numFmtId="0" fontId="19" fillId="9" borderId="5" xfId="0" applyFont="1" applyFill="1" applyBorder="1" applyAlignment="1">
      <alignment wrapText="1"/>
    </xf>
    <xf numFmtId="0" fontId="19" fillId="9" borderId="6" xfId="0" applyFont="1" applyFill="1" applyBorder="1" applyAlignment="1">
      <alignment wrapText="1"/>
    </xf>
    <xf numFmtId="0" fontId="17" fillId="0" borderId="47" xfId="0" applyFont="1" applyBorder="1" applyProtection="1">
      <protection locked="0"/>
    </xf>
    <xf numFmtId="0" fontId="17" fillId="0" borderId="63" xfId="0" applyFont="1" applyBorder="1" applyProtection="1">
      <protection locked="0"/>
    </xf>
    <xf numFmtId="0" fontId="17" fillId="0" borderId="64" xfId="0" applyFont="1" applyBorder="1" applyProtection="1">
      <protection locked="0"/>
    </xf>
    <xf numFmtId="0" fontId="17" fillId="0" borderId="75" xfId="0" applyFont="1" applyBorder="1" applyProtection="1">
      <protection locked="0"/>
    </xf>
    <xf numFmtId="0" fontId="21" fillId="10" borderId="58" xfId="0" applyFont="1" applyFill="1" applyBorder="1" applyProtection="1">
      <protection locked="0"/>
    </xf>
    <xf numFmtId="0" fontId="21" fillId="10" borderId="59" xfId="0" applyFont="1" applyFill="1" applyBorder="1" applyProtection="1">
      <protection locked="0"/>
    </xf>
    <xf numFmtId="0" fontId="21" fillId="10" borderId="60" xfId="0" applyFont="1" applyFill="1" applyBorder="1" applyProtection="1">
      <protection locked="0"/>
    </xf>
    <xf numFmtId="0" fontId="21" fillId="10" borderId="74" xfId="0" applyFont="1" applyFill="1" applyBorder="1" applyProtection="1">
      <protection locked="0"/>
    </xf>
    <xf numFmtId="0" fontId="17" fillId="0" borderId="61" xfId="0" applyFont="1" applyBorder="1" applyProtection="1">
      <protection locked="0"/>
    </xf>
    <xf numFmtId="0" fontId="17" fillId="0" borderId="0" xfId="0" applyFont="1" applyProtection="1">
      <protection locked="0"/>
    </xf>
    <xf numFmtId="0" fontId="17" fillId="0" borderId="62" xfId="0" applyFont="1" applyBorder="1" applyProtection="1">
      <protection locked="0"/>
    </xf>
    <xf numFmtId="0" fontId="17" fillId="0" borderId="73" xfId="0" applyFont="1" applyBorder="1" applyProtection="1">
      <protection locked="0"/>
    </xf>
    <xf numFmtId="0" fontId="21" fillId="10" borderId="61" xfId="0" applyFont="1" applyFill="1" applyBorder="1" applyProtection="1">
      <protection locked="0"/>
    </xf>
    <xf numFmtId="0" fontId="21" fillId="10" borderId="0" xfId="0" applyFont="1" applyFill="1" applyProtection="1">
      <protection locked="0"/>
    </xf>
    <xf numFmtId="0" fontId="21" fillId="10" borderId="62" xfId="0" applyFont="1" applyFill="1" applyBorder="1" applyProtection="1">
      <protection locked="0"/>
    </xf>
    <xf numFmtId="0" fontId="21" fillId="10" borderId="73" xfId="0" applyFont="1" applyFill="1" applyBorder="1" applyProtection="1">
      <protection locked="0"/>
    </xf>
    <xf numFmtId="0" fontId="20" fillId="9" borderId="1" xfId="0" applyFont="1" applyFill="1" applyBorder="1"/>
    <xf numFmtId="0" fontId="20" fillId="9" borderId="2" xfId="0" applyFont="1" applyFill="1" applyBorder="1"/>
    <xf numFmtId="0" fontId="20" fillId="9" borderId="3" xfId="0" applyFont="1" applyFill="1" applyBorder="1"/>
    <xf numFmtId="0" fontId="19" fillId="0" borderId="1" xfId="0" applyFont="1" applyBorder="1" applyAlignment="1">
      <alignment wrapText="1"/>
    </xf>
    <xf numFmtId="0" fontId="19" fillId="0" borderId="2" xfId="0" applyFont="1" applyBorder="1" applyAlignment="1">
      <alignment wrapText="1"/>
    </xf>
    <xf numFmtId="0" fontId="19" fillId="0" borderId="53" xfId="0" applyFont="1" applyBorder="1" applyAlignment="1">
      <alignment wrapText="1"/>
    </xf>
    <xf numFmtId="0" fontId="19" fillId="0" borderId="7" xfId="0" applyFont="1" applyBorder="1" applyAlignment="1">
      <alignment wrapText="1"/>
    </xf>
    <xf numFmtId="0" fontId="19" fillId="0" borderId="0" xfId="0" applyFont="1" applyAlignment="1">
      <alignment wrapText="1"/>
    </xf>
    <xf numFmtId="0" fontId="19" fillId="0" borderId="54" xfId="0" applyFont="1" applyBorder="1" applyAlignment="1">
      <alignment wrapText="1"/>
    </xf>
    <xf numFmtId="0" fontId="19" fillId="0" borderId="55" xfId="0" applyFont="1" applyBorder="1" applyAlignment="1">
      <alignment wrapText="1"/>
    </xf>
    <xf numFmtId="0" fontId="19" fillId="0" borderId="56" xfId="0" applyFont="1" applyBorder="1" applyAlignment="1">
      <alignment wrapText="1"/>
    </xf>
    <xf numFmtId="0" fontId="19" fillId="0" borderId="57" xfId="0" applyFont="1" applyBorder="1" applyAlignment="1">
      <alignment wrapText="1"/>
    </xf>
    <xf numFmtId="0" fontId="13" fillId="0" borderId="71" xfId="0" applyFont="1" applyBorder="1"/>
    <xf numFmtId="0" fontId="13" fillId="0" borderId="5" xfId="0" applyFont="1" applyBorder="1" applyAlignment="1">
      <alignment horizontal="center"/>
    </xf>
    <xf numFmtId="0" fontId="17" fillId="9" borderId="16" xfId="0" applyFont="1" applyFill="1" applyBorder="1"/>
    <xf numFmtId="0" fontId="17" fillId="9" borderId="18" xfId="0" applyFont="1" applyFill="1" applyBorder="1"/>
    <xf numFmtId="0" fontId="13" fillId="0" borderId="1" xfId="0" applyFont="1" applyBorder="1" applyAlignment="1" applyProtection="1">
      <alignment vertical="center"/>
      <protection locked="0"/>
    </xf>
    <xf numFmtId="0" fontId="13" fillId="0" borderId="2" xfId="0" applyFont="1" applyBorder="1" applyAlignment="1" applyProtection="1">
      <alignment vertical="center"/>
      <protection locked="0"/>
    </xf>
    <xf numFmtId="0" fontId="13" fillId="0" borderId="53" xfId="0" applyFont="1" applyBorder="1" applyAlignment="1" applyProtection="1">
      <alignment vertical="center"/>
      <protection locked="0"/>
    </xf>
    <xf numFmtId="0" fontId="13" fillId="0" borderId="7" xfId="0" applyFont="1" applyBorder="1" applyAlignment="1" applyProtection="1">
      <alignment vertical="center"/>
      <protection locked="0"/>
    </xf>
    <xf numFmtId="0" fontId="13" fillId="0" borderId="0" xfId="0" applyFont="1" applyAlignment="1" applyProtection="1">
      <alignment vertical="center"/>
      <protection locked="0"/>
    </xf>
    <xf numFmtId="0" fontId="13" fillId="0" borderId="54" xfId="0" applyFont="1" applyBorder="1" applyAlignment="1" applyProtection="1">
      <alignment vertical="center"/>
      <protection locked="0"/>
    </xf>
    <xf numFmtId="0" fontId="13" fillId="0" borderId="55" xfId="0" applyFont="1" applyBorder="1" applyAlignment="1" applyProtection="1">
      <alignment vertical="center"/>
      <protection locked="0"/>
    </xf>
    <xf numFmtId="0" fontId="13" fillId="0" borderId="56" xfId="0" applyFont="1" applyBorder="1" applyAlignment="1" applyProtection="1">
      <alignment vertical="center"/>
      <protection locked="0"/>
    </xf>
    <xf numFmtId="0" fontId="13" fillId="0" borderId="57" xfId="0" applyFont="1" applyBorder="1" applyAlignment="1" applyProtection="1">
      <alignment vertical="center"/>
      <protection locked="0"/>
    </xf>
    <xf numFmtId="0" fontId="13" fillId="0" borderId="76" xfId="0" applyFont="1" applyBorder="1" applyAlignment="1" applyProtection="1">
      <alignment vertical="center"/>
      <protection locked="0"/>
    </xf>
    <xf numFmtId="0" fontId="13" fillId="0" borderId="65" xfId="0" applyFont="1" applyBorder="1" applyAlignment="1" applyProtection="1">
      <alignment vertical="center"/>
      <protection locked="0"/>
    </xf>
    <xf numFmtId="0" fontId="13" fillId="0" borderId="66" xfId="0" applyFont="1" applyBorder="1" applyAlignment="1" applyProtection="1">
      <alignment vertical="center"/>
      <protection locked="0"/>
    </xf>
    <xf numFmtId="0" fontId="10" fillId="8" borderId="1" xfId="0" applyFont="1" applyFill="1" applyBorder="1" applyAlignment="1">
      <alignment horizontal="left" vertical="center"/>
    </xf>
    <xf numFmtId="0" fontId="10" fillId="8" borderId="40" xfId="0" applyFont="1" applyFill="1" applyBorder="1" applyAlignment="1">
      <alignment horizontal="left" vertical="center"/>
    </xf>
    <xf numFmtId="0" fontId="10" fillId="8" borderId="38" xfId="0" applyFont="1" applyFill="1" applyBorder="1" applyAlignment="1">
      <alignment horizontal="center"/>
    </xf>
    <xf numFmtId="0" fontId="10" fillId="8" borderId="39" xfId="0" applyFont="1" applyFill="1" applyBorder="1" applyAlignment="1">
      <alignment horizontal="center"/>
    </xf>
  </cellXfs>
  <cellStyles count="3">
    <cellStyle name="Bad" xfId="1" builtinId="27"/>
    <cellStyle name="Hyperlink" xfId="2" builtinId="8"/>
    <cellStyle name="Normal" xfId="0" builtinId="0"/>
  </cellStyles>
  <dxfs count="14">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228600</xdr:colOff>
      <xdr:row>1</xdr:row>
      <xdr:rowOff>85725</xdr:rowOff>
    </xdr:from>
    <xdr:to>
      <xdr:col>2</xdr:col>
      <xdr:colOff>485969</xdr:colOff>
      <xdr:row>1</xdr:row>
      <xdr:rowOff>898567</xdr:rowOff>
    </xdr:to>
    <xdr:pic>
      <xdr:nvPicPr>
        <xdr:cNvPr id="3" name="Picture 2">
          <a:extLst>
            <a:ext uri="{FF2B5EF4-FFF2-40B4-BE49-F238E27FC236}">
              <a16:creationId xmlns:a16="http://schemas.microsoft.com/office/drawing/2014/main" id="{34B43170-11BC-8FEC-6EE7-AC1E361C62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276225"/>
          <a:ext cx="3772094" cy="81284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mailto:gwalcott@sgu.edu/%20EJohnso3@sgu.edu/SUpadhya@sgu.edu" TargetMode="External"/><Relationship Id="rId13" Type="http://schemas.openxmlformats.org/officeDocument/2006/relationships/hyperlink" Target="mailto:NLeton@sgu.edu/Supadhya@sgu.edu" TargetMode="External"/><Relationship Id="rId18" Type="http://schemas.openxmlformats.org/officeDocument/2006/relationships/hyperlink" Target="mailto:vnarain1@sgu.edu" TargetMode="External"/><Relationship Id="rId26" Type="http://schemas.openxmlformats.org/officeDocument/2006/relationships/hyperlink" Target="mailto:cantoinef@sgu.edu" TargetMode="External"/><Relationship Id="rId39" Type="http://schemas.openxmlformats.org/officeDocument/2006/relationships/printerSettings" Target="../printerSettings/printerSettings4.bin"/><Relationship Id="rId3" Type="http://schemas.openxmlformats.org/officeDocument/2006/relationships/hyperlink" Target="mailto:midries@sgu.edu/sthoma10@sgu.edu/CTaylor2@sgu.edu" TargetMode="External"/><Relationship Id="rId21" Type="http://schemas.openxmlformats.org/officeDocument/2006/relationships/hyperlink" Target="mailto:DKirkby@sgu.edu,WKolbinger@sgu.edu,NLeton@sgu.edu,EJohnson3@sgu.edu,%20RCumming@sgu.edu,%20jmckenzi@sgu.edu,SMaity@sgu.edu" TargetMode="External"/><Relationship Id="rId34" Type="http://schemas.openxmlformats.org/officeDocument/2006/relationships/hyperlink" Target="mailto:vnarain1@sgu.edu;%20bkirkby@sgu.edu" TargetMode="External"/><Relationship Id="rId7" Type="http://schemas.openxmlformats.org/officeDocument/2006/relationships/hyperlink" Target="mailto:EJohnso3@sgu.edu/jpaul@sgu.edu/gwalcott@sgu.edu/bandelo@sgu.edu" TargetMode="External"/><Relationship Id="rId12" Type="http://schemas.openxmlformats.org/officeDocument/2006/relationships/hyperlink" Target="mailto:achitte1@sgu.edu" TargetMode="External"/><Relationship Id="rId17" Type="http://schemas.openxmlformats.org/officeDocument/2006/relationships/hyperlink" Target="mailto:afarah1@sgu.edu" TargetMode="External"/><Relationship Id="rId25" Type="http://schemas.openxmlformats.org/officeDocument/2006/relationships/hyperlink" Target="mailto:sonigbin@sgu.edu" TargetMode="External"/><Relationship Id="rId33" Type="http://schemas.openxmlformats.org/officeDocument/2006/relationships/hyperlink" Target="mailto:sonigbin@sgu.edu,%20kandrew4@sgu.edu,%20mmontal1@sgu.edu,%20mdupless@sgu.edu" TargetMode="External"/><Relationship Id="rId38" Type="http://schemas.openxmlformats.org/officeDocument/2006/relationships/hyperlink" Target="mailto:Kandrew4@sgu.edu" TargetMode="External"/><Relationship Id="rId2" Type="http://schemas.openxmlformats.org/officeDocument/2006/relationships/hyperlink" Target="mailto:sthoma10@sgu.edu" TargetMode="External"/><Relationship Id="rId16" Type="http://schemas.openxmlformats.org/officeDocument/2006/relationships/hyperlink" Target="mailto:adrigo@sgu.edu" TargetMode="External"/><Relationship Id="rId20" Type="http://schemas.openxmlformats.org/officeDocument/2006/relationships/hyperlink" Target="mailto:SUpadhya@sgu.edu/achitte1@sgu.edu/jpaul@sgu.edu" TargetMode="External"/><Relationship Id="rId29" Type="http://schemas.openxmlformats.org/officeDocument/2006/relationships/hyperlink" Target="mailto:KRaeburn1@sgu.edu/kandrew4@sgu.edu/rrao@sgu.edu/SPierre4@sgu.edu/RGeorge@sgu.edu/MMontal1@sgu.edu" TargetMode="External"/><Relationship Id="rId1" Type="http://schemas.openxmlformats.org/officeDocument/2006/relationships/hyperlink" Target="mailto:midries@sgu.edu" TargetMode="External"/><Relationship Id="rId6" Type="http://schemas.openxmlformats.org/officeDocument/2006/relationships/hyperlink" Target="mailto:cantoinef@sgu.edu" TargetMode="External"/><Relationship Id="rId11" Type="http://schemas.openxmlformats.org/officeDocument/2006/relationships/hyperlink" Target="mailto:achitte1@sgu.edu" TargetMode="External"/><Relationship Id="rId24" Type="http://schemas.openxmlformats.org/officeDocument/2006/relationships/hyperlink" Target="mailto:adrigo@sgu.edu" TargetMode="External"/><Relationship Id="rId32" Type="http://schemas.openxmlformats.org/officeDocument/2006/relationships/hyperlink" Target="mailto:achitte1@sgu.edu/jpaul@sgu.edu" TargetMode="External"/><Relationship Id="rId37" Type="http://schemas.openxmlformats.org/officeDocument/2006/relationships/hyperlink" Target="mailto:kraeburn1@sgu.edu/mdupless@sgu.edu" TargetMode="External"/><Relationship Id="rId5" Type="http://schemas.openxmlformats.org/officeDocument/2006/relationships/hyperlink" Target="mailto:midries@sgu.edu;%20mmaj@sgu.edu" TargetMode="External"/><Relationship Id="rId15" Type="http://schemas.openxmlformats.org/officeDocument/2006/relationships/hyperlink" Target="mailto:mdupless@sgu.edu" TargetMode="External"/><Relationship Id="rId23" Type="http://schemas.openxmlformats.org/officeDocument/2006/relationships/hyperlink" Target="mailto:cjohns15@sgu.edu" TargetMode="External"/><Relationship Id="rId28" Type="http://schemas.openxmlformats.org/officeDocument/2006/relationships/hyperlink" Target="mailto:SHUpadhya@sgu.edu/sthoma10@sgu.edu" TargetMode="External"/><Relationship Id="rId36" Type="http://schemas.openxmlformats.org/officeDocument/2006/relationships/hyperlink" Target="mailto:kraeburn1@sgu.edu/mdupless@sgu.edu" TargetMode="External"/><Relationship Id="rId10" Type="http://schemas.openxmlformats.org/officeDocument/2006/relationships/hyperlink" Target="mailto:achitte1@sgu.edu" TargetMode="External"/><Relationship Id="rId19" Type="http://schemas.openxmlformats.org/officeDocument/2006/relationships/hyperlink" Target="mailto:jpaul@sgu.edu/supadhya@sgu.edu" TargetMode="External"/><Relationship Id="rId31" Type="http://schemas.openxmlformats.org/officeDocument/2006/relationships/hyperlink" Target="mailto:cantoinef@sgu.edu/spierre4@sgu.edu" TargetMode="External"/><Relationship Id="rId4" Type="http://schemas.openxmlformats.org/officeDocument/2006/relationships/hyperlink" Target="mailto:sthoma10@sgu.edu" TargetMode="External"/><Relationship Id="rId9" Type="http://schemas.openxmlformats.org/officeDocument/2006/relationships/hyperlink" Target="mailto:jmckenzi@sgu.edu/Supadhya@sgu.edu/jpaul@sgu.edu/ejohso3@sgu.edu" TargetMode="External"/><Relationship Id="rId14" Type="http://schemas.openxmlformats.org/officeDocument/2006/relationships/hyperlink" Target="mailto:cantoinef@sgu.edu" TargetMode="External"/><Relationship Id="rId22" Type="http://schemas.openxmlformats.org/officeDocument/2006/relationships/hyperlink" Target="mailto:spierre4@sgu.edu" TargetMode="External"/><Relationship Id="rId27" Type="http://schemas.openxmlformats.org/officeDocument/2006/relationships/hyperlink" Target="mailto:cjohns15@sgu.edu" TargetMode="External"/><Relationship Id="rId30" Type="http://schemas.openxmlformats.org/officeDocument/2006/relationships/hyperlink" Target="mailto:mabdelra@sgu.edu/SPierre4@sgu.edu" TargetMode="External"/><Relationship Id="rId35" Type="http://schemas.openxmlformats.org/officeDocument/2006/relationships/hyperlink" Target="mailto:kraeburn1@sgu.edu/mdupless@sg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69B08-7F37-4FF7-A983-F743417086BD}">
  <sheetPr codeName="Sheet1">
    <tabColor rgb="FFFFFF00"/>
    <pageSetUpPr fitToPage="1"/>
  </sheetPr>
  <dimension ref="A1:F8"/>
  <sheetViews>
    <sheetView workbookViewId="0">
      <selection activeCell="B6" sqref="B6:E6"/>
    </sheetView>
  </sheetViews>
  <sheetFormatPr defaultColWidth="0" defaultRowHeight="18" zeroHeight="1" x14ac:dyDescent="0.35"/>
  <cols>
    <col min="1" max="1" width="3" style="1" customWidth="1"/>
    <col min="2" max="5" width="52.7109375" style="1" customWidth="1"/>
    <col min="6" max="6" width="3" style="1" customWidth="1"/>
    <col min="7" max="26" width="9.140625" style="1" hidden="1" customWidth="1"/>
    <col min="27" max="16384" width="9.140625" style="1" hidden="1"/>
  </cols>
  <sheetData>
    <row r="1" spans="1:6" ht="18.75" thickBot="1" x14ac:dyDescent="0.4">
      <c r="B1" s="2"/>
      <c r="C1" s="2"/>
      <c r="D1" s="2"/>
      <c r="E1" s="2"/>
    </row>
    <row r="2" spans="1:6" ht="76.5" customHeight="1" x14ac:dyDescent="0.35">
      <c r="A2" s="3"/>
      <c r="B2" s="74" t="s">
        <v>0</v>
      </c>
      <c r="C2" s="75"/>
      <c r="D2" s="75"/>
      <c r="E2" s="76"/>
      <c r="F2" s="4"/>
    </row>
    <row r="3" spans="1:6" s="7" customFormat="1" ht="88.5" customHeight="1" x14ac:dyDescent="0.25">
      <c r="A3" s="5"/>
      <c r="B3" s="65" t="s">
        <v>1</v>
      </c>
      <c r="C3" s="66"/>
      <c r="D3" s="66"/>
      <c r="E3" s="67"/>
      <c r="F3" s="6"/>
    </row>
    <row r="4" spans="1:6" s="7" customFormat="1" ht="88.5" customHeight="1" x14ac:dyDescent="0.25">
      <c r="A4" s="5"/>
      <c r="B4" s="68" t="s">
        <v>2</v>
      </c>
      <c r="C4" s="69"/>
      <c r="D4" s="69"/>
      <c r="E4" s="70"/>
      <c r="F4" s="6"/>
    </row>
    <row r="5" spans="1:6" s="7" customFormat="1" ht="88.5" customHeight="1" x14ac:dyDescent="0.25">
      <c r="A5" s="5"/>
      <c r="B5" s="68" t="s">
        <v>3</v>
      </c>
      <c r="C5" s="69"/>
      <c r="D5" s="69"/>
      <c r="E5" s="70"/>
      <c r="F5" s="6"/>
    </row>
    <row r="6" spans="1:6" s="7" customFormat="1" ht="88.5" customHeight="1" thickBot="1" x14ac:dyDescent="0.3">
      <c r="A6" s="5"/>
      <c r="B6" s="77" t="s">
        <v>4</v>
      </c>
      <c r="C6" s="72"/>
      <c r="D6" s="72"/>
      <c r="E6" s="73"/>
      <c r="F6" s="6"/>
    </row>
    <row r="7" spans="1:6" s="7" customFormat="1" ht="88.5" customHeight="1" x14ac:dyDescent="0.25">
      <c r="A7" s="5"/>
      <c r="B7" s="71" t="s">
        <v>142</v>
      </c>
      <c r="C7" s="72"/>
      <c r="D7" s="72"/>
      <c r="E7" s="73"/>
      <c r="F7" s="6"/>
    </row>
    <row r="8" spans="1:6" x14ac:dyDescent="0.35">
      <c r="B8" s="8"/>
      <c r="C8" s="8"/>
      <c r="D8" s="8"/>
      <c r="E8" s="8"/>
    </row>
  </sheetData>
  <sheetProtection algorithmName="SHA-512" hashValue="zYSeakx3uRL6Uw5IWqEiQN1c1cTjsYvsy7uV8Zu5136zHLvENAYafO46yqriFZi5GIZ6w8wpy4m1KmhlqrVYSg==" saltValue="EQTjGyY81x1RLcSUX/uBdg==" spinCount="100000" sheet="1" objects="1" scenarios="1"/>
  <mergeCells count="6">
    <mergeCell ref="B3:E3"/>
    <mergeCell ref="B4:E4"/>
    <mergeCell ref="B5:E5"/>
    <mergeCell ref="B7:E7"/>
    <mergeCell ref="B2:E2"/>
    <mergeCell ref="B6:E6"/>
  </mergeCells>
  <pageMargins left="0.25" right="0.25" top="0.75" bottom="0.75" header="0.3" footer="0.3"/>
  <pageSetup scale="62" orientation="landscape" verticalDpi="597"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F11F3-94F0-4A25-A93F-4F2C445FAE11}">
  <sheetPr codeName="Sheet2">
    <pageSetUpPr fitToPage="1"/>
  </sheetPr>
  <dimension ref="A1:AG38"/>
  <sheetViews>
    <sheetView zoomScaleNormal="100" workbookViewId="0">
      <pane xSplit="3" ySplit="6" topLeftCell="D14" activePane="bottomRight" state="frozen"/>
      <selection pane="topRight" activeCell="D1" sqref="D1"/>
      <selection pane="bottomLeft" activeCell="A7" sqref="A7"/>
      <selection pane="bottomRight" activeCell="C19" sqref="C19"/>
    </sheetView>
  </sheetViews>
  <sheetFormatPr defaultColWidth="0" defaultRowHeight="0" customHeight="1" zeroHeight="1" x14ac:dyDescent="0.3"/>
  <cols>
    <col min="1" max="1" width="2.42578125" style="20" customWidth="1"/>
    <col min="2" max="2" width="9.140625" style="20" customWidth="1"/>
    <col min="3" max="3" width="85.28515625" style="20" customWidth="1"/>
    <col min="4" max="12" width="9.42578125" style="20" customWidth="1"/>
    <col min="13" max="13" width="12.42578125" style="20" customWidth="1"/>
    <col min="14" max="14" width="4.28515625" style="20" customWidth="1"/>
    <col min="15" max="15" width="12.85546875" style="20" bestFit="1" customWidth="1"/>
    <col min="16" max="20" width="9.140625" style="20" customWidth="1"/>
    <col min="21" max="21" width="2.7109375" style="20" customWidth="1"/>
    <col min="22" max="33" width="0" style="20" hidden="1" customWidth="1"/>
    <col min="34" max="16384" width="9.140625" style="20" hidden="1"/>
  </cols>
  <sheetData>
    <row r="1" spans="1:21" ht="15" x14ac:dyDescent="0.3">
      <c r="A1" s="18"/>
      <c r="B1" s="18"/>
      <c r="C1" s="19"/>
      <c r="D1" s="18"/>
      <c r="E1" s="18"/>
      <c r="F1" s="18"/>
      <c r="G1" s="18"/>
      <c r="H1" s="18"/>
      <c r="I1" s="18"/>
      <c r="J1" s="18"/>
      <c r="K1" s="18"/>
      <c r="L1" s="18"/>
      <c r="M1" s="18"/>
      <c r="N1" s="18"/>
      <c r="O1" s="18"/>
      <c r="P1" s="18"/>
      <c r="Q1" s="18"/>
      <c r="R1" s="18"/>
      <c r="S1" s="18"/>
      <c r="T1" s="18"/>
      <c r="U1" s="18"/>
    </row>
    <row r="2" spans="1:21" ht="30" customHeight="1" x14ac:dyDescent="0.3">
      <c r="A2" s="18"/>
      <c r="B2" s="84" t="s">
        <v>5</v>
      </c>
      <c r="C2" s="85"/>
      <c r="D2" s="85"/>
      <c r="E2" s="85"/>
      <c r="F2" s="85"/>
      <c r="G2" s="85"/>
      <c r="H2" s="85"/>
      <c r="I2" s="85"/>
      <c r="J2" s="85"/>
      <c r="K2" s="85"/>
      <c r="L2" s="85"/>
      <c r="M2" s="86"/>
      <c r="N2" s="21"/>
      <c r="O2" s="18"/>
      <c r="P2" s="18"/>
      <c r="Q2" s="18"/>
      <c r="R2" s="18"/>
      <c r="S2" s="18"/>
      <c r="T2" s="18"/>
      <c r="U2" s="18"/>
    </row>
    <row r="3" spans="1:21" ht="16.5" customHeight="1" x14ac:dyDescent="0.3">
      <c r="A3" s="18"/>
      <c r="B3" s="87" t="s">
        <v>6</v>
      </c>
      <c r="C3" s="88"/>
      <c r="D3" s="88"/>
      <c r="E3" s="88"/>
      <c r="F3" s="88"/>
      <c r="G3" s="88"/>
      <c r="H3" s="88"/>
      <c r="I3" s="88"/>
      <c r="J3" s="88"/>
      <c r="K3" s="88"/>
      <c r="L3" s="88"/>
      <c r="M3" s="89"/>
      <c r="N3" s="19"/>
      <c r="O3" s="18"/>
      <c r="P3" s="18"/>
      <c r="Q3" s="18"/>
      <c r="R3" s="18"/>
      <c r="S3" s="18"/>
      <c r="T3" s="18"/>
      <c r="U3" s="18"/>
    </row>
    <row r="4" spans="1:21" ht="15.75" thickBot="1" x14ac:dyDescent="0.35">
      <c r="A4" s="18" cm="1">
        <f t="array" aca="1" ref="A4" ca="1">A4:C35</f>
        <v>0</v>
      </c>
      <c r="B4" s="18"/>
      <c r="C4" s="19"/>
      <c r="D4" s="18"/>
      <c r="E4" s="18"/>
      <c r="F4" s="18"/>
      <c r="G4" s="18"/>
      <c r="H4" s="18"/>
      <c r="I4" s="18"/>
      <c r="J4" s="18"/>
      <c r="K4" s="18"/>
      <c r="L4" s="18"/>
      <c r="M4" s="18"/>
      <c r="N4" s="18"/>
      <c r="O4" s="18"/>
      <c r="P4" s="18"/>
      <c r="Q4" s="18"/>
      <c r="R4" s="18"/>
      <c r="S4" s="18"/>
      <c r="T4" s="18"/>
      <c r="U4" s="18"/>
    </row>
    <row r="5" spans="1:21" ht="15.75" customHeight="1" x14ac:dyDescent="0.3">
      <c r="A5" s="18"/>
      <c r="B5" s="18"/>
      <c r="C5" s="18"/>
      <c r="D5" s="90" t="s">
        <v>7</v>
      </c>
      <c r="E5" s="91"/>
      <c r="F5" s="91"/>
      <c r="G5" s="91"/>
      <c r="H5" s="92"/>
      <c r="I5" s="90" t="s">
        <v>8</v>
      </c>
      <c r="J5" s="91"/>
      <c r="K5" s="91"/>
      <c r="L5" s="91"/>
      <c r="M5" s="92"/>
      <c r="N5" s="93" t="s">
        <v>9</v>
      </c>
      <c r="O5" s="94"/>
      <c r="P5" s="94"/>
      <c r="Q5" s="94"/>
      <c r="R5" s="94"/>
      <c r="S5" s="94"/>
      <c r="T5" s="95"/>
      <c r="U5" s="18"/>
    </row>
    <row r="6" spans="1:21" ht="15.75" thickBot="1" x14ac:dyDescent="0.35">
      <c r="A6" s="18"/>
      <c r="B6" s="19" t="s">
        <v>10</v>
      </c>
      <c r="C6" s="18"/>
      <c r="D6" s="56" t="s">
        <v>11</v>
      </c>
      <c r="E6" s="57" t="s">
        <v>12</v>
      </c>
      <c r="F6" s="57" t="s">
        <v>13</v>
      </c>
      <c r="G6" s="57" t="s">
        <v>14</v>
      </c>
      <c r="H6" s="58" t="s">
        <v>15</v>
      </c>
      <c r="I6" s="56" t="s">
        <v>11</v>
      </c>
      <c r="J6" s="57" t="s">
        <v>12</v>
      </c>
      <c r="K6" s="57" t="s">
        <v>13</v>
      </c>
      <c r="L6" s="57" t="s">
        <v>14</v>
      </c>
      <c r="M6" s="58"/>
      <c r="N6" s="96"/>
      <c r="O6" s="97"/>
      <c r="P6" s="97"/>
      <c r="Q6" s="97"/>
      <c r="R6" s="97"/>
      <c r="S6" s="97"/>
      <c r="T6" s="98"/>
      <c r="U6" s="18"/>
    </row>
    <row r="7" spans="1:21" ht="15.75" customHeight="1" x14ac:dyDescent="0.3">
      <c r="A7" s="22"/>
      <c r="B7" s="22">
        <v>1</v>
      </c>
      <c r="C7" s="18" t="s">
        <v>16</v>
      </c>
      <c r="D7" s="11"/>
      <c r="E7" s="9"/>
      <c r="F7" s="9"/>
      <c r="G7" s="9"/>
      <c r="H7" s="10"/>
      <c r="I7" s="53"/>
      <c r="J7" s="54"/>
      <c r="K7" s="54"/>
      <c r="L7" s="55"/>
      <c r="M7" s="78"/>
      <c r="N7" s="79"/>
      <c r="O7" s="79"/>
      <c r="P7" s="79"/>
      <c r="Q7" s="79"/>
      <c r="R7" s="79"/>
      <c r="S7" s="79"/>
      <c r="T7" s="79"/>
      <c r="U7" s="80"/>
    </row>
    <row r="8" spans="1:21" ht="15" x14ac:dyDescent="0.3">
      <c r="A8" s="22"/>
      <c r="B8" s="22">
        <v>2</v>
      </c>
      <c r="C8" s="18" t="s">
        <v>17</v>
      </c>
      <c r="D8" s="14"/>
      <c r="E8" s="12"/>
      <c r="F8" s="12"/>
      <c r="G8" s="12"/>
      <c r="H8" s="13"/>
      <c r="I8" s="14"/>
      <c r="J8" s="12"/>
      <c r="K8" s="12"/>
      <c r="L8" s="52"/>
      <c r="M8" s="81"/>
      <c r="N8" s="82"/>
      <c r="O8" s="82"/>
      <c r="P8" s="82"/>
      <c r="Q8" s="82"/>
      <c r="R8" s="82"/>
      <c r="S8" s="82"/>
      <c r="T8" s="82"/>
      <c r="U8" s="83"/>
    </row>
    <row r="9" spans="1:21" ht="15" x14ac:dyDescent="0.3">
      <c r="A9" s="22"/>
      <c r="B9" s="22">
        <v>3</v>
      </c>
      <c r="C9" s="18" t="s">
        <v>18</v>
      </c>
      <c r="D9" s="14"/>
      <c r="E9" s="12"/>
      <c r="F9" s="12"/>
      <c r="G9" s="12"/>
      <c r="H9" s="13"/>
      <c r="I9" s="14"/>
      <c r="J9" s="12"/>
      <c r="K9" s="12"/>
      <c r="L9" s="52"/>
      <c r="M9" s="81"/>
      <c r="N9" s="82"/>
      <c r="O9" s="82"/>
      <c r="P9" s="82"/>
      <c r="Q9" s="82"/>
      <c r="R9" s="82"/>
      <c r="S9" s="82"/>
      <c r="T9" s="82"/>
      <c r="U9" s="83"/>
    </row>
    <row r="10" spans="1:21" ht="15" x14ac:dyDescent="0.3">
      <c r="A10" s="22"/>
      <c r="B10" s="22">
        <v>4</v>
      </c>
      <c r="C10" s="18" t="s">
        <v>19</v>
      </c>
      <c r="D10" s="14"/>
      <c r="E10" s="12"/>
      <c r="F10" s="12"/>
      <c r="G10" s="12"/>
      <c r="H10" s="13"/>
      <c r="I10" s="14"/>
      <c r="J10" s="12"/>
      <c r="K10" s="12"/>
      <c r="L10" s="52"/>
      <c r="M10" s="81"/>
      <c r="N10" s="82"/>
      <c r="O10" s="82"/>
      <c r="P10" s="82"/>
      <c r="Q10" s="82"/>
      <c r="R10" s="82"/>
      <c r="S10" s="82"/>
      <c r="T10" s="82"/>
      <c r="U10" s="83"/>
    </row>
    <row r="11" spans="1:21" ht="15" x14ac:dyDescent="0.3">
      <c r="A11" s="22"/>
      <c r="B11" s="22">
        <v>5</v>
      </c>
      <c r="C11" s="18" t="s">
        <v>20</v>
      </c>
      <c r="D11" s="14"/>
      <c r="E11" s="12"/>
      <c r="F11" s="12"/>
      <c r="G11" s="12"/>
      <c r="H11" s="13"/>
      <c r="I11" s="14"/>
      <c r="J11" s="12"/>
      <c r="K11" s="12"/>
      <c r="L11" s="52"/>
      <c r="M11" s="81"/>
      <c r="N11" s="82"/>
      <c r="O11" s="82"/>
      <c r="P11" s="82"/>
      <c r="Q11" s="82"/>
      <c r="R11" s="82"/>
      <c r="S11" s="82"/>
      <c r="T11" s="82"/>
      <c r="U11" s="83"/>
    </row>
    <row r="12" spans="1:21" ht="15" x14ac:dyDescent="0.3">
      <c r="A12" s="22"/>
      <c r="B12" s="22">
        <v>6</v>
      </c>
      <c r="C12" s="18" t="s">
        <v>21</v>
      </c>
      <c r="D12" s="14"/>
      <c r="E12" s="12"/>
      <c r="F12" s="12"/>
      <c r="G12" s="12"/>
      <c r="H12" s="13"/>
      <c r="I12" s="14"/>
      <c r="J12" s="12"/>
      <c r="K12" s="12"/>
      <c r="L12" s="52"/>
      <c r="M12" s="81"/>
      <c r="N12" s="82"/>
      <c r="O12" s="82"/>
      <c r="P12" s="82"/>
      <c r="Q12" s="82"/>
      <c r="R12" s="82"/>
      <c r="S12" s="82"/>
      <c r="T12" s="82"/>
      <c r="U12" s="83"/>
    </row>
    <row r="13" spans="1:21" ht="15" x14ac:dyDescent="0.3">
      <c r="A13" s="22"/>
      <c r="B13" s="22">
        <v>7</v>
      </c>
      <c r="C13" s="18" t="s">
        <v>22</v>
      </c>
      <c r="D13" s="14"/>
      <c r="E13" s="12"/>
      <c r="F13" s="12"/>
      <c r="G13" s="12"/>
      <c r="H13" s="13"/>
      <c r="I13" s="14"/>
      <c r="J13" s="12"/>
      <c r="K13" s="12"/>
      <c r="L13" s="52"/>
      <c r="M13" s="81"/>
      <c r="N13" s="82"/>
      <c r="O13" s="82"/>
      <c r="P13" s="82"/>
      <c r="Q13" s="82"/>
      <c r="R13" s="82"/>
      <c r="S13" s="82"/>
      <c r="T13" s="82"/>
      <c r="U13" s="83"/>
    </row>
    <row r="14" spans="1:21" ht="15" x14ac:dyDescent="0.3">
      <c r="A14" s="22"/>
      <c r="B14" s="22">
        <v>8</v>
      </c>
      <c r="C14" s="18" t="s">
        <v>23</v>
      </c>
      <c r="D14" s="14"/>
      <c r="E14" s="12"/>
      <c r="F14" s="12"/>
      <c r="G14" s="12"/>
      <c r="H14" s="13"/>
      <c r="I14" s="14"/>
      <c r="J14" s="12"/>
      <c r="K14" s="12"/>
      <c r="L14" s="52"/>
      <c r="M14" s="81"/>
      <c r="N14" s="82"/>
      <c r="O14" s="82"/>
      <c r="P14" s="82"/>
      <c r="Q14" s="82"/>
      <c r="R14" s="82"/>
      <c r="S14" s="82"/>
      <c r="T14" s="82"/>
      <c r="U14" s="83"/>
    </row>
    <row r="15" spans="1:21" ht="15" x14ac:dyDescent="0.3">
      <c r="A15" s="22"/>
      <c r="B15" s="22">
        <v>9</v>
      </c>
      <c r="C15" s="18" t="s">
        <v>24</v>
      </c>
      <c r="D15" s="14"/>
      <c r="E15" s="12"/>
      <c r="F15" s="12"/>
      <c r="G15" s="12"/>
      <c r="H15" s="13"/>
      <c r="I15" s="14"/>
      <c r="J15" s="12"/>
      <c r="K15" s="12"/>
      <c r="L15" s="52"/>
      <c r="M15" s="81"/>
      <c r="N15" s="82"/>
      <c r="O15" s="82"/>
      <c r="P15" s="82"/>
      <c r="Q15" s="82"/>
      <c r="R15" s="82"/>
      <c r="S15" s="82"/>
      <c r="T15" s="82"/>
      <c r="U15" s="83"/>
    </row>
    <row r="16" spans="1:21" ht="15" x14ac:dyDescent="0.3">
      <c r="A16" s="22"/>
      <c r="B16" s="22">
        <v>10</v>
      </c>
      <c r="C16" s="18" t="s">
        <v>25</v>
      </c>
      <c r="D16" s="14"/>
      <c r="E16" s="12"/>
      <c r="F16" s="12"/>
      <c r="G16" s="12"/>
      <c r="H16" s="13"/>
      <c r="I16" s="14"/>
      <c r="J16" s="12"/>
      <c r="K16" s="12"/>
      <c r="L16" s="52"/>
      <c r="M16" s="81"/>
      <c r="N16" s="82"/>
      <c r="O16" s="82"/>
      <c r="P16" s="82"/>
      <c r="Q16" s="82"/>
      <c r="R16" s="82"/>
      <c r="S16" s="82"/>
      <c r="T16" s="82"/>
      <c r="U16" s="83"/>
    </row>
    <row r="17" spans="1:21" ht="15" x14ac:dyDescent="0.3">
      <c r="A17" s="22"/>
      <c r="B17" s="22">
        <v>11</v>
      </c>
      <c r="C17" s="18" t="s">
        <v>26</v>
      </c>
      <c r="D17" s="14"/>
      <c r="E17" s="12"/>
      <c r="F17" s="12"/>
      <c r="G17" s="12"/>
      <c r="H17" s="13"/>
      <c r="I17" s="14"/>
      <c r="J17" s="12"/>
      <c r="K17" s="12"/>
      <c r="L17" s="52"/>
      <c r="M17" s="81"/>
      <c r="N17" s="82"/>
      <c r="O17" s="82"/>
      <c r="P17" s="82"/>
      <c r="Q17" s="82"/>
      <c r="R17" s="82"/>
      <c r="S17" s="82"/>
      <c r="T17" s="82"/>
      <c r="U17" s="83"/>
    </row>
    <row r="18" spans="1:21" ht="15" x14ac:dyDescent="0.3">
      <c r="A18" s="22"/>
      <c r="B18" s="22">
        <v>12</v>
      </c>
      <c r="C18" s="18" t="s">
        <v>27</v>
      </c>
      <c r="D18" s="14"/>
      <c r="E18" s="12"/>
      <c r="F18" s="12"/>
      <c r="G18" s="12"/>
      <c r="H18" s="13"/>
      <c r="I18" s="14"/>
      <c r="J18" s="12"/>
      <c r="K18" s="12"/>
      <c r="L18" s="52"/>
      <c r="M18" s="81"/>
      <c r="N18" s="82"/>
      <c r="O18" s="82"/>
      <c r="P18" s="82"/>
      <c r="Q18" s="82"/>
      <c r="R18" s="82"/>
      <c r="S18" s="82"/>
      <c r="T18" s="82"/>
      <c r="U18" s="83"/>
    </row>
    <row r="19" spans="1:21" ht="15" x14ac:dyDescent="0.3">
      <c r="A19" s="22"/>
      <c r="B19" s="22">
        <v>13</v>
      </c>
      <c r="C19" s="18" t="s">
        <v>28</v>
      </c>
      <c r="D19" s="14"/>
      <c r="E19" s="12"/>
      <c r="F19" s="12"/>
      <c r="G19" s="12"/>
      <c r="H19" s="13"/>
      <c r="I19" s="14"/>
      <c r="J19" s="12"/>
      <c r="K19" s="12"/>
      <c r="L19" s="52"/>
      <c r="M19" s="81"/>
      <c r="N19" s="82"/>
      <c r="O19" s="82"/>
      <c r="P19" s="82"/>
      <c r="Q19" s="82"/>
      <c r="R19" s="82"/>
      <c r="S19" s="82"/>
      <c r="T19" s="82"/>
      <c r="U19" s="83"/>
    </row>
    <row r="20" spans="1:21" ht="15" x14ac:dyDescent="0.3">
      <c r="A20" s="22"/>
      <c r="B20" s="22">
        <v>14</v>
      </c>
      <c r="C20" s="18" t="s">
        <v>29</v>
      </c>
      <c r="D20" s="14"/>
      <c r="E20" s="12"/>
      <c r="F20" s="12"/>
      <c r="G20" s="12"/>
      <c r="H20" s="13"/>
      <c r="I20" s="14"/>
      <c r="J20" s="12"/>
      <c r="K20" s="12"/>
      <c r="L20" s="52"/>
      <c r="M20" s="81"/>
      <c r="N20" s="82"/>
      <c r="O20" s="82"/>
      <c r="P20" s="82"/>
      <c r="Q20" s="82"/>
      <c r="R20" s="82"/>
      <c r="S20" s="82"/>
      <c r="T20" s="82"/>
      <c r="U20" s="83"/>
    </row>
    <row r="21" spans="1:21" ht="15.75" customHeight="1" thickBot="1" x14ac:dyDescent="0.35">
      <c r="A21" s="22"/>
      <c r="B21" s="22">
        <v>15</v>
      </c>
      <c r="C21" s="18" t="s">
        <v>30</v>
      </c>
      <c r="D21" s="14"/>
      <c r="E21" s="12"/>
      <c r="F21" s="12"/>
      <c r="G21" s="12"/>
      <c r="H21" s="13"/>
      <c r="I21" s="14"/>
      <c r="J21" s="12"/>
      <c r="K21" s="12"/>
      <c r="L21" s="52"/>
      <c r="M21" s="81"/>
      <c r="N21" s="82"/>
      <c r="O21" s="82"/>
      <c r="P21" s="82"/>
      <c r="Q21" s="82"/>
      <c r="R21" s="82"/>
      <c r="S21" s="82"/>
      <c r="T21" s="82"/>
      <c r="U21" s="83"/>
    </row>
    <row r="22" spans="1:21" ht="15.75" customHeight="1" thickBot="1" x14ac:dyDescent="0.35">
      <c r="A22" s="22"/>
      <c r="B22" s="22">
        <v>16</v>
      </c>
      <c r="C22" s="18" t="s">
        <v>31</v>
      </c>
      <c r="D22" s="15"/>
      <c r="E22" s="28"/>
      <c r="F22" s="16"/>
      <c r="G22" s="16"/>
      <c r="H22" s="29"/>
      <c r="I22" s="15"/>
      <c r="J22" s="16"/>
      <c r="K22" s="16"/>
      <c r="L22" s="29"/>
      <c r="M22" s="110"/>
      <c r="N22" s="111"/>
      <c r="O22" s="111"/>
      <c r="P22" s="111"/>
      <c r="Q22" s="111"/>
      <c r="R22" s="111"/>
      <c r="S22" s="111"/>
      <c r="T22" s="111"/>
      <c r="U22" s="112"/>
    </row>
    <row r="23" spans="1:21" ht="15.75" thickBot="1" x14ac:dyDescent="0.35">
      <c r="A23" s="22"/>
      <c r="B23" s="22"/>
      <c r="C23" s="18"/>
      <c r="D23" s="18"/>
      <c r="E23" s="18"/>
      <c r="F23" s="18"/>
      <c r="G23" s="18"/>
      <c r="H23" s="18"/>
      <c r="I23" s="18"/>
      <c r="J23" s="18"/>
      <c r="K23" s="18"/>
      <c r="L23" s="18"/>
      <c r="M23" s="18"/>
      <c r="N23" s="18"/>
      <c r="O23" s="18"/>
      <c r="P23" s="18"/>
      <c r="Q23" s="18"/>
      <c r="R23" s="18"/>
      <c r="S23" s="18"/>
      <c r="T23" s="18"/>
      <c r="U23" s="18"/>
    </row>
    <row r="24" spans="1:21" ht="15.75" thickBot="1" x14ac:dyDescent="0.35">
      <c r="A24" s="22"/>
      <c r="B24" s="22">
        <v>17</v>
      </c>
      <c r="C24" s="18" t="s">
        <v>32</v>
      </c>
      <c r="D24" s="18"/>
      <c r="E24" s="18"/>
      <c r="F24" s="18"/>
      <c r="G24" s="18"/>
      <c r="H24" s="17"/>
      <c r="I24" s="19"/>
      <c r="J24" s="19"/>
      <c r="K24" s="19"/>
      <c r="L24" s="19"/>
      <c r="M24" s="17"/>
      <c r="N24" s="18"/>
      <c r="O24" s="18"/>
      <c r="P24" s="18"/>
      <c r="Q24" s="18"/>
      <c r="R24" s="18"/>
      <c r="S24" s="18"/>
      <c r="T24" s="18"/>
      <c r="U24" s="18"/>
    </row>
    <row r="25" spans="1:21" ht="15.75" thickBot="1" x14ac:dyDescent="0.35">
      <c r="A25" s="22"/>
      <c r="B25" s="22">
        <v>18</v>
      </c>
      <c r="C25" s="18" t="s">
        <v>33</v>
      </c>
      <c r="D25" s="18"/>
      <c r="E25" s="18"/>
      <c r="F25" s="18"/>
      <c r="G25" s="18"/>
      <c r="H25" s="19">
        <v>17</v>
      </c>
      <c r="I25" s="19"/>
      <c r="J25" s="19"/>
      <c r="K25" s="19"/>
      <c r="L25" s="19"/>
      <c r="M25" s="19">
        <v>17</v>
      </c>
      <c r="N25" s="18"/>
      <c r="O25" s="18"/>
      <c r="P25" s="18"/>
      <c r="Q25" s="18"/>
      <c r="R25" s="18"/>
      <c r="S25" s="18"/>
      <c r="T25" s="18"/>
      <c r="U25" s="18"/>
    </row>
    <row r="26" spans="1:21" ht="15" x14ac:dyDescent="0.3">
      <c r="A26" s="22"/>
      <c r="B26" s="22">
        <v>19</v>
      </c>
      <c r="C26" s="18" t="s">
        <v>34</v>
      </c>
      <c r="D26" s="18"/>
      <c r="E26" s="18"/>
      <c r="F26" s="18"/>
      <c r="G26" s="18"/>
      <c r="H26" s="23">
        <f>(H24*H25)/(H25)</f>
        <v>0</v>
      </c>
      <c r="I26" s="19"/>
      <c r="J26" s="19"/>
      <c r="K26" s="19"/>
      <c r="L26" s="19"/>
      <c r="M26" s="23">
        <f>((H25*H24)+(M25*M24))/(H25+M25)</f>
        <v>0</v>
      </c>
      <c r="N26" s="18"/>
      <c r="O26" s="18"/>
      <c r="P26" s="18"/>
      <c r="Q26" s="18"/>
      <c r="R26" s="18"/>
      <c r="S26" s="18"/>
      <c r="T26" s="18"/>
      <c r="U26" s="18"/>
    </row>
    <row r="27" spans="1:21" ht="15" x14ac:dyDescent="0.3">
      <c r="A27" s="18"/>
      <c r="B27" s="18"/>
      <c r="C27" s="18"/>
      <c r="D27" s="18"/>
      <c r="E27" s="18"/>
      <c r="F27" s="18"/>
      <c r="G27" s="18"/>
      <c r="H27" s="18"/>
      <c r="I27" s="18"/>
      <c r="J27" s="18"/>
      <c r="K27" s="18"/>
      <c r="L27" s="18"/>
      <c r="M27" s="18"/>
      <c r="N27" s="18"/>
      <c r="O27" s="18"/>
      <c r="P27" s="18"/>
      <c r="Q27" s="18"/>
      <c r="R27" s="18"/>
      <c r="S27" s="18"/>
      <c r="T27" s="18"/>
      <c r="U27" s="18"/>
    </row>
    <row r="28" spans="1:21" ht="15" x14ac:dyDescent="0.3">
      <c r="A28" s="18"/>
      <c r="B28" s="18"/>
      <c r="C28" s="18"/>
      <c r="D28" s="19" t="s">
        <v>35</v>
      </c>
      <c r="E28" s="18"/>
      <c r="F28" s="18"/>
      <c r="G28" s="18"/>
      <c r="H28" s="18"/>
      <c r="I28" s="18"/>
      <c r="J28" s="18"/>
      <c r="K28" s="18"/>
      <c r="L28" s="18"/>
      <c r="M28" s="18"/>
      <c r="N28" s="18"/>
      <c r="O28" s="18"/>
      <c r="P28" s="18"/>
      <c r="Q28" s="18"/>
      <c r="R28" s="18"/>
      <c r="S28" s="18"/>
      <c r="T28" s="18"/>
      <c r="U28" s="18"/>
    </row>
    <row r="29" spans="1:21" ht="15" x14ac:dyDescent="0.3">
      <c r="A29" s="18"/>
      <c r="B29" s="18"/>
      <c r="C29" s="18"/>
      <c r="D29" s="18"/>
      <c r="E29" s="18"/>
      <c r="F29" s="18"/>
      <c r="G29" s="18"/>
      <c r="H29" s="18"/>
      <c r="I29" s="18"/>
      <c r="J29" s="18"/>
      <c r="K29" s="18"/>
      <c r="L29" s="18"/>
      <c r="M29" s="18"/>
      <c r="N29" s="18"/>
      <c r="O29" s="18"/>
      <c r="P29" s="18"/>
      <c r="Q29" s="18"/>
      <c r="R29" s="18"/>
      <c r="S29" s="18"/>
      <c r="T29" s="18"/>
      <c r="U29" s="18"/>
    </row>
    <row r="30" spans="1:21" ht="15" customHeight="1" x14ac:dyDescent="0.3">
      <c r="A30" s="18"/>
      <c r="B30" s="99" t="s">
        <v>36</v>
      </c>
      <c r="C30" s="100"/>
      <c r="D30" s="101"/>
      <c r="E30" s="102"/>
      <c r="F30" s="102"/>
      <c r="G30" s="102"/>
      <c r="H30" s="102"/>
      <c r="I30" s="102"/>
      <c r="J30" s="102"/>
      <c r="K30" s="102"/>
      <c r="L30" s="102"/>
      <c r="M30" s="103"/>
      <c r="N30" s="18"/>
      <c r="O30" s="18" t="s">
        <v>38</v>
      </c>
      <c r="P30" s="24"/>
      <c r="Q30" s="18"/>
      <c r="R30" s="18"/>
      <c r="S30" s="18"/>
      <c r="T30" s="18"/>
      <c r="U30" s="18"/>
    </row>
    <row r="31" spans="1:21" ht="15.75" customHeight="1" x14ac:dyDescent="0.3">
      <c r="A31" s="18"/>
      <c r="B31" s="18"/>
      <c r="C31" s="18"/>
      <c r="D31" s="104"/>
      <c r="E31" s="105"/>
      <c r="F31" s="105"/>
      <c r="G31" s="105"/>
      <c r="H31" s="105"/>
      <c r="I31" s="105"/>
      <c r="J31" s="105"/>
      <c r="K31" s="105"/>
      <c r="L31" s="105"/>
      <c r="M31" s="106"/>
      <c r="N31" s="18"/>
      <c r="O31" s="18" t="s">
        <v>39</v>
      </c>
      <c r="P31" s="25"/>
      <c r="Q31" s="18"/>
      <c r="R31" s="18"/>
      <c r="S31" s="18"/>
      <c r="T31" s="18"/>
      <c r="U31" s="18"/>
    </row>
    <row r="32" spans="1:21" ht="16.5" customHeight="1" x14ac:dyDescent="0.3">
      <c r="A32" s="18"/>
      <c r="B32" s="18"/>
      <c r="C32" s="18"/>
      <c r="D32" s="107"/>
      <c r="E32" s="108"/>
      <c r="F32" s="108"/>
      <c r="G32" s="108"/>
      <c r="H32" s="108"/>
      <c r="I32" s="108"/>
      <c r="J32" s="108"/>
      <c r="K32" s="108"/>
      <c r="L32" s="108"/>
      <c r="M32" s="109"/>
      <c r="N32" s="18"/>
      <c r="O32" s="18" t="s">
        <v>40</v>
      </c>
      <c r="P32" s="26"/>
      <c r="Q32" s="18"/>
      <c r="R32" s="18"/>
      <c r="S32" s="18"/>
      <c r="T32" s="18"/>
      <c r="U32" s="18"/>
    </row>
    <row r="33" spans="1:21" ht="15" x14ac:dyDescent="0.3">
      <c r="A33" s="18"/>
      <c r="B33" s="18"/>
      <c r="C33" s="18"/>
      <c r="D33" s="18"/>
      <c r="E33" s="18"/>
      <c r="F33" s="18"/>
      <c r="G33" s="18"/>
      <c r="H33" s="18"/>
      <c r="I33" s="18"/>
      <c r="J33" s="18"/>
      <c r="K33" s="18"/>
      <c r="L33" s="18"/>
      <c r="M33" s="18"/>
      <c r="N33" s="18"/>
      <c r="O33" s="18" t="s">
        <v>41</v>
      </c>
      <c r="P33" s="27"/>
      <c r="Q33" s="18"/>
      <c r="R33" s="18"/>
      <c r="S33" s="18"/>
      <c r="T33" s="18"/>
      <c r="U33" s="18"/>
    </row>
    <row r="34" spans="1:21" ht="15" x14ac:dyDescent="0.3">
      <c r="A34" s="18"/>
      <c r="B34" s="18"/>
      <c r="C34" s="18"/>
      <c r="D34" s="18"/>
      <c r="E34" s="18"/>
      <c r="F34" s="18"/>
      <c r="G34" s="18"/>
      <c r="H34" s="18"/>
      <c r="I34" s="18"/>
      <c r="J34" s="18"/>
      <c r="K34" s="18"/>
      <c r="L34" s="18"/>
      <c r="M34" s="18"/>
      <c r="N34" s="18"/>
      <c r="O34" s="18"/>
      <c r="P34" s="18"/>
      <c r="Q34" s="18"/>
      <c r="R34" s="18"/>
      <c r="S34" s="18"/>
      <c r="T34" s="18"/>
      <c r="U34" s="18"/>
    </row>
    <row r="35" spans="1:21" ht="15" customHeight="1" x14ac:dyDescent="0.3">
      <c r="A35" s="18"/>
      <c r="B35" s="99" t="s">
        <v>42</v>
      </c>
      <c r="C35" s="100"/>
      <c r="D35" s="101" t="s">
        <v>37</v>
      </c>
      <c r="E35" s="102"/>
      <c r="F35" s="102"/>
      <c r="G35" s="102"/>
      <c r="H35" s="102"/>
      <c r="I35" s="102"/>
      <c r="J35" s="102"/>
      <c r="K35" s="102"/>
      <c r="L35" s="102"/>
      <c r="M35" s="103"/>
      <c r="N35" s="18"/>
      <c r="O35" s="18"/>
      <c r="P35" s="18"/>
      <c r="Q35" s="18"/>
      <c r="R35" s="18"/>
      <c r="S35" s="18"/>
      <c r="T35" s="18"/>
      <c r="U35" s="18"/>
    </row>
    <row r="36" spans="1:21" ht="15.75" customHeight="1" x14ac:dyDescent="0.3">
      <c r="A36" s="18"/>
      <c r="B36" s="18"/>
      <c r="C36" s="18"/>
      <c r="D36" s="104"/>
      <c r="E36" s="105"/>
      <c r="F36" s="105"/>
      <c r="G36" s="105"/>
      <c r="H36" s="105"/>
      <c r="I36" s="105"/>
      <c r="J36" s="105"/>
      <c r="K36" s="105"/>
      <c r="L36" s="105"/>
      <c r="M36" s="106"/>
      <c r="N36" s="18"/>
      <c r="O36" s="18"/>
      <c r="P36" s="18"/>
      <c r="Q36" s="18"/>
      <c r="R36" s="18"/>
      <c r="S36" s="18"/>
      <c r="T36" s="18"/>
      <c r="U36" s="18"/>
    </row>
    <row r="37" spans="1:21" ht="16.5" customHeight="1" x14ac:dyDescent="0.3">
      <c r="A37" s="18"/>
      <c r="B37" s="18"/>
      <c r="C37" s="18"/>
      <c r="D37" s="107"/>
      <c r="E37" s="108"/>
      <c r="F37" s="108"/>
      <c r="G37" s="108"/>
      <c r="H37" s="108"/>
      <c r="I37" s="108"/>
      <c r="J37" s="108"/>
      <c r="K37" s="108"/>
      <c r="L37" s="108"/>
      <c r="M37" s="109"/>
      <c r="N37" s="18"/>
      <c r="O37" s="18"/>
      <c r="P37" s="18"/>
      <c r="Q37" s="18"/>
      <c r="R37" s="18"/>
      <c r="S37" s="18"/>
      <c r="T37" s="18"/>
      <c r="U37" s="18"/>
    </row>
    <row r="38" spans="1:21" ht="15" x14ac:dyDescent="0.3">
      <c r="A38" s="18"/>
      <c r="B38" s="18"/>
      <c r="C38" s="18"/>
      <c r="D38" s="18"/>
      <c r="E38" s="18"/>
      <c r="F38" s="18"/>
      <c r="G38" s="18"/>
      <c r="H38" s="18"/>
      <c r="I38" s="18"/>
      <c r="J38" s="18"/>
      <c r="K38" s="18"/>
      <c r="L38" s="18"/>
      <c r="M38" s="18"/>
      <c r="N38" s="18"/>
      <c r="O38" s="18"/>
      <c r="P38" s="18"/>
      <c r="Q38" s="18"/>
      <c r="R38" s="18"/>
      <c r="S38" s="18"/>
      <c r="T38" s="18"/>
      <c r="U38" s="18"/>
    </row>
  </sheetData>
  <sheetProtection algorithmName="SHA-512" hashValue="JbgmThSkhhpKFG+iKcCcA+8O7CDcz41yMeFIIc0aJecPmcmZg1HRmfIuqHmV7vOts/aCQ5A7pLrpT98HLT9i/g==" saltValue="txXv1iIjzZ2fCuEXQd9xSQ==" spinCount="100000" sheet="1" objects="1" scenarios="1"/>
  <mergeCells count="25">
    <mergeCell ref="B30:C30"/>
    <mergeCell ref="B35:C35"/>
    <mergeCell ref="D30:M32"/>
    <mergeCell ref="D35:M37"/>
    <mergeCell ref="M11:U11"/>
    <mergeCell ref="M12:U12"/>
    <mergeCell ref="M13:U13"/>
    <mergeCell ref="M19:U19"/>
    <mergeCell ref="M20:U20"/>
    <mergeCell ref="M21:U21"/>
    <mergeCell ref="M22:U22"/>
    <mergeCell ref="M14:U14"/>
    <mergeCell ref="M15:U15"/>
    <mergeCell ref="M16:U16"/>
    <mergeCell ref="M17:U17"/>
    <mergeCell ref="M18:U18"/>
    <mergeCell ref="M7:U7"/>
    <mergeCell ref="M8:U8"/>
    <mergeCell ref="M9:U9"/>
    <mergeCell ref="M10:U10"/>
    <mergeCell ref="B2:M2"/>
    <mergeCell ref="B3:M3"/>
    <mergeCell ref="D5:H5"/>
    <mergeCell ref="I5:M5"/>
    <mergeCell ref="N5:T6"/>
  </mergeCells>
  <phoneticPr fontId="1" type="noConversion"/>
  <conditionalFormatting sqref="D22:H22">
    <cfRule type="cellIs" dxfId="13" priority="22" operator="between">
      <formula>69.5</formula>
      <formula>78</formula>
    </cfRule>
    <cfRule type="cellIs" dxfId="12" priority="23" operator="lessThan">
      <formula>69.5</formula>
    </cfRule>
  </conditionalFormatting>
  <conditionalFormatting sqref="D7:L21">
    <cfRule type="cellIs" dxfId="11" priority="2" operator="between">
      <formula>73</formula>
      <formula>78</formula>
    </cfRule>
    <cfRule type="cellIs" dxfId="10" priority="3" operator="lessThan">
      <formula>73</formula>
    </cfRule>
  </conditionalFormatting>
  <conditionalFormatting sqref="D7:M21 D22:L22">
    <cfRule type="cellIs" dxfId="9" priority="1" operator="greaterThan">
      <formula>90</formula>
    </cfRule>
  </conditionalFormatting>
  <conditionalFormatting sqref="H24 M24">
    <cfRule type="cellIs" dxfId="8" priority="4" operator="greaterThan">
      <formula>90</formula>
    </cfRule>
    <cfRule type="cellIs" dxfId="7" priority="5" operator="between">
      <formula>75.01</formula>
      <formula>78</formula>
    </cfRule>
    <cfRule type="cellIs" dxfId="6" priority="6" operator="lessThan">
      <formula>75</formula>
    </cfRule>
  </conditionalFormatting>
  <conditionalFormatting sqref="H26 M26">
    <cfRule type="cellIs" dxfId="5" priority="9" operator="greaterThan">
      <formula>90</formula>
    </cfRule>
    <cfRule type="cellIs" dxfId="4" priority="15" operator="between">
      <formula>75</formula>
      <formula>79</formula>
    </cfRule>
  </conditionalFormatting>
  <conditionalFormatting sqref="H26">
    <cfRule type="cellIs" dxfId="3" priority="20" operator="lessThan">
      <formula>75</formula>
    </cfRule>
  </conditionalFormatting>
  <conditionalFormatting sqref="I22:L22">
    <cfRule type="cellIs" dxfId="2" priority="11" operator="between">
      <formula>71.5</formula>
      <formula>78</formula>
    </cfRule>
    <cfRule type="cellIs" dxfId="1" priority="16" operator="lessThan">
      <formula>71.5</formula>
    </cfRule>
  </conditionalFormatting>
  <conditionalFormatting sqref="M26">
    <cfRule type="cellIs" dxfId="0" priority="19" operator="lessThan">
      <formula>75</formula>
    </cfRule>
  </conditionalFormatting>
  <pageMargins left="0.7" right="0.7" top="0.75" bottom="0.75" header="0.3" footer="0.3"/>
  <pageSetup scale="81"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4AB56-1A69-4C52-B061-2719BCEC2D07}">
  <dimension ref="A1:AC24"/>
  <sheetViews>
    <sheetView zoomScaleNormal="100" workbookViewId="0">
      <selection activeCell="I31" sqref="I31"/>
    </sheetView>
  </sheetViews>
  <sheetFormatPr defaultColWidth="8.85546875" defaultRowHeight="15" x14ac:dyDescent="0.25"/>
  <cols>
    <col min="1" max="1" width="9.140625" customWidth="1"/>
  </cols>
  <sheetData>
    <row r="1" spans="1:29" ht="15.75" thickBot="1" x14ac:dyDescent="0.3">
      <c r="A1" s="113"/>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row>
    <row r="2" spans="1:29" ht="15.75" thickBot="1" x14ac:dyDescent="0.3">
      <c r="A2" s="113"/>
      <c r="B2" s="153" t="s">
        <v>7</v>
      </c>
      <c r="C2" s="154"/>
      <c r="D2" s="155" t="s">
        <v>43</v>
      </c>
      <c r="E2" s="156"/>
      <c r="F2" s="156"/>
      <c r="G2" s="156"/>
      <c r="H2" s="156"/>
      <c r="I2" s="156"/>
      <c r="J2" s="156"/>
      <c r="K2" s="156"/>
      <c r="L2" s="156"/>
      <c r="M2" s="156"/>
      <c r="N2" s="156"/>
      <c r="O2" s="156"/>
      <c r="P2" s="156"/>
      <c r="Q2" s="156"/>
      <c r="R2" s="156"/>
      <c r="S2" s="156"/>
      <c r="T2" s="156"/>
      <c r="U2" s="156"/>
      <c r="V2" s="156"/>
      <c r="W2" s="156"/>
      <c r="X2" s="156"/>
      <c r="Y2" s="156"/>
      <c r="Z2" s="156"/>
      <c r="AA2" s="156"/>
      <c r="AB2" s="156"/>
      <c r="AC2" s="157"/>
    </row>
    <row r="3" spans="1:29" x14ac:dyDescent="0.25">
      <c r="A3" s="113" t="s">
        <v>44</v>
      </c>
      <c r="B3" s="113"/>
      <c r="C3" s="116"/>
      <c r="D3" s="158"/>
      <c r="E3" s="159"/>
      <c r="F3" s="159"/>
      <c r="G3" s="159"/>
      <c r="H3" s="159"/>
      <c r="I3" s="159"/>
      <c r="J3" s="159"/>
      <c r="K3" s="159"/>
      <c r="L3" s="159"/>
      <c r="M3" s="159"/>
      <c r="N3" s="159"/>
      <c r="O3" s="159"/>
      <c r="P3" s="159"/>
      <c r="Q3" s="159"/>
      <c r="R3" s="159"/>
      <c r="S3" s="159"/>
      <c r="T3" s="159"/>
      <c r="U3" s="159"/>
      <c r="V3" s="159"/>
      <c r="W3" s="159"/>
      <c r="X3" s="159"/>
      <c r="Y3" s="159"/>
      <c r="Z3" s="159"/>
      <c r="AA3" s="159"/>
      <c r="AB3" s="159"/>
      <c r="AC3" s="160"/>
    </row>
    <row r="4" spans="1:29" ht="15.75" thickBot="1" x14ac:dyDescent="0.3">
      <c r="A4" s="113"/>
      <c r="B4" s="113"/>
      <c r="C4" s="116"/>
      <c r="D4" s="161"/>
      <c r="E4" s="162"/>
      <c r="F4" s="162"/>
      <c r="G4" s="162"/>
      <c r="H4" s="162"/>
      <c r="I4" s="162"/>
      <c r="J4" s="162"/>
      <c r="K4" s="162"/>
      <c r="L4" s="162"/>
      <c r="M4" s="162"/>
      <c r="N4" s="162"/>
      <c r="O4" s="162"/>
      <c r="P4" s="162"/>
      <c r="Q4" s="162"/>
      <c r="R4" s="162"/>
      <c r="S4" s="162"/>
      <c r="T4" s="162"/>
      <c r="U4" s="162"/>
      <c r="V4" s="162"/>
      <c r="W4" s="162"/>
      <c r="X4" s="162"/>
      <c r="Y4" s="162"/>
      <c r="Z4" s="162"/>
      <c r="AA4" s="162"/>
      <c r="AB4" s="162"/>
      <c r="AC4" s="163"/>
    </row>
    <row r="5" spans="1:29" ht="15.75" thickBot="1" x14ac:dyDescent="0.3">
      <c r="A5" s="63"/>
      <c r="B5" s="153" t="s">
        <v>8</v>
      </c>
      <c r="C5" s="154"/>
      <c r="D5" s="164" t="s">
        <v>45</v>
      </c>
      <c r="E5" s="165"/>
      <c r="F5" s="165"/>
      <c r="G5" s="165"/>
      <c r="H5" s="165"/>
      <c r="I5" s="165"/>
      <c r="J5" s="165"/>
      <c r="K5" s="165"/>
      <c r="L5" s="165"/>
      <c r="M5" s="165"/>
      <c r="N5" s="165"/>
      <c r="O5" s="165"/>
      <c r="P5" s="165"/>
      <c r="Q5" s="165"/>
      <c r="R5" s="165"/>
      <c r="S5" s="165"/>
      <c r="T5" s="165"/>
      <c r="U5" s="165"/>
      <c r="V5" s="165"/>
      <c r="W5" s="165"/>
      <c r="X5" s="165"/>
      <c r="Y5" s="165"/>
      <c r="Z5" s="165"/>
      <c r="AA5" s="165"/>
      <c r="AB5" s="165"/>
      <c r="AC5" s="166"/>
    </row>
    <row r="6" spans="1:29" x14ac:dyDescent="0.25">
      <c r="A6" s="113"/>
      <c r="B6" s="113"/>
      <c r="C6" s="116"/>
      <c r="D6" s="158"/>
      <c r="E6" s="159"/>
      <c r="F6" s="159"/>
      <c r="G6" s="159"/>
      <c r="H6" s="159"/>
      <c r="I6" s="159"/>
      <c r="J6" s="159"/>
      <c r="K6" s="159"/>
      <c r="L6" s="159"/>
      <c r="M6" s="159"/>
      <c r="N6" s="159"/>
      <c r="O6" s="159"/>
      <c r="P6" s="159"/>
      <c r="Q6" s="159"/>
      <c r="R6" s="159"/>
      <c r="S6" s="159"/>
      <c r="T6" s="159"/>
      <c r="U6" s="159"/>
      <c r="V6" s="159"/>
      <c r="W6" s="159"/>
      <c r="X6" s="159"/>
      <c r="Y6" s="159"/>
      <c r="Z6" s="159"/>
      <c r="AA6" s="159"/>
      <c r="AB6" s="159"/>
      <c r="AC6" s="160"/>
    </row>
    <row r="7" spans="1:29" ht="15.75" thickBot="1" x14ac:dyDescent="0.3">
      <c r="A7" s="113"/>
      <c r="B7" s="113"/>
      <c r="C7" s="116"/>
      <c r="D7" s="161"/>
      <c r="E7" s="162"/>
      <c r="F7" s="162"/>
      <c r="G7" s="162"/>
      <c r="H7" s="162"/>
      <c r="I7" s="162"/>
      <c r="J7" s="162"/>
      <c r="K7" s="162"/>
      <c r="L7" s="162"/>
      <c r="M7" s="162"/>
      <c r="N7" s="162"/>
      <c r="O7" s="162"/>
      <c r="P7" s="162"/>
      <c r="Q7" s="162"/>
      <c r="R7" s="162"/>
      <c r="S7" s="162"/>
      <c r="T7" s="162"/>
      <c r="U7" s="162"/>
      <c r="V7" s="162"/>
      <c r="W7" s="162"/>
      <c r="X7" s="162"/>
      <c r="Y7" s="162"/>
      <c r="Z7" s="162"/>
      <c r="AA7" s="162"/>
      <c r="AB7" s="162"/>
      <c r="AC7" s="163"/>
    </row>
    <row r="8" spans="1:29" ht="15.75" thickBot="1" x14ac:dyDescent="0.3">
      <c r="A8" s="63"/>
      <c r="B8" s="153" t="s">
        <v>46</v>
      </c>
      <c r="C8" s="154"/>
      <c r="D8" s="164" t="s">
        <v>45</v>
      </c>
      <c r="E8" s="165"/>
      <c r="F8" s="165"/>
      <c r="G8" s="165"/>
      <c r="H8" s="165"/>
      <c r="I8" s="165"/>
      <c r="J8" s="165"/>
      <c r="K8" s="165"/>
      <c r="L8" s="165"/>
      <c r="M8" s="165"/>
      <c r="N8" s="165"/>
      <c r="O8" s="165"/>
      <c r="P8" s="165"/>
      <c r="Q8" s="165"/>
      <c r="R8" s="165"/>
      <c r="S8" s="165"/>
      <c r="T8" s="165"/>
      <c r="U8" s="165"/>
      <c r="V8" s="165"/>
      <c r="W8" s="165"/>
      <c r="X8" s="165"/>
      <c r="Y8" s="165"/>
      <c r="Z8" s="165"/>
      <c r="AA8" s="165"/>
      <c r="AB8" s="165"/>
      <c r="AC8" s="166"/>
    </row>
    <row r="9" spans="1:29" x14ac:dyDescent="0.25">
      <c r="A9" s="113"/>
      <c r="B9" s="113"/>
      <c r="C9" s="113"/>
      <c r="D9" s="158"/>
      <c r="E9" s="159"/>
      <c r="F9" s="159"/>
      <c r="G9" s="159"/>
      <c r="H9" s="159"/>
      <c r="I9" s="159"/>
      <c r="J9" s="159"/>
      <c r="K9" s="159"/>
      <c r="L9" s="159"/>
      <c r="M9" s="159"/>
      <c r="N9" s="159"/>
      <c r="O9" s="159"/>
      <c r="P9" s="159"/>
      <c r="Q9" s="159"/>
      <c r="R9" s="159"/>
      <c r="S9" s="159"/>
      <c r="T9" s="159"/>
      <c r="U9" s="159"/>
      <c r="V9" s="159"/>
      <c r="W9" s="159"/>
      <c r="X9" s="159"/>
      <c r="Y9" s="159"/>
      <c r="Z9" s="159"/>
      <c r="AA9" s="159"/>
      <c r="AB9" s="159"/>
      <c r="AC9" s="160"/>
    </row>
    <row r="10" spans="1:29" ht="15.75" thickBot="1" x14ac:dyDescent="0.3">
      <c r="A10" s="113"/>
      <c r="B10" s="113"/>
      <c r="C10" s="113"/>
      <c r="D10" s="161"/>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3"/>
    </row>
    <row r="11" spans="1:29" ht="15.75" thickBot="1" x14ac:dyDescent="0.3">
      <c r="A11" s="113"/>
      <c r="B11" s="113"/>
      <c r="C11" s="113"/>
      <c r="D11" s="151"/>
      <c r="E11" s="151"/>
      <c r="F11" s="151"/>
      <c r="G11" s="151"/>
      <c r="H11" s="151"/>
      <c r="I11" s="151"/>
      <c r="J11" s="151"/>
      <c r="K11" s="151"/>
      <c r="L11" s="151"/>
      <c r="M11" s="151"/>
      <c r="N11" s="151"/>
      <c r="O11" s="151"/>
      <c r="P11" s="151"/>
      <c r="Q11" s="151"/>
      <c r="R11" s="151"/>
      <c r="S11" s="151"/>
      <c r="T11" s="151"/>
      <c r="U11" s="151"/>
      <c r="V11" s="151"/>
      <c r="W11" s="151"/>
      <c r="X11" s="151"/>
      <c r="Y11" s="151"/>
      <c r="Z11" s="151"/>
      <c r="AA11" s="151"/>
      <c r="AB11" s="151"/>
      <c r="AC11" s="151"/>
    </row>
    <row r="12" spans="1:29" ht="15" customHeight="1" x14ac:dyDescent="0.25">
      <c r="A12" s="116"/>
      <c r="B12" s="142" t="s">
        <v>47</v>
      </c>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c r="AA12" s="143"/>
      <c r="AB12" s="143"/>
      <c r="AC12" s="144"/>
    </row>
    <row r="13" spans="1:29" ht="15" customHeight="1" x14ac:dyDescent="0.25">
      <c r="A13" s="116"/>
      <c r="B13" s="145"/>
      <c r="C13" s="146"/>
      <c r="D13" s="146"/>
      <c r="E13" s="146"/>
      <c r="F13" s="146"/>
      <c r="G13" s="146"/>
      <c r="H13" s="146"/>
      <c r="I13" s="146"/>
      <c r="J13" s="146"/>
      <c r="K13" s="146"/>
      <c r="L13" s="146"/>
      <c r="M13" s="146"/>
      <c r="N13" s="146"/>
      <c r="O13" s="146"/>
      <c r="P13" s="146"/>
      <c r="Q13" s="146"/>
      <c r="R13" s="146"/>
      <c r="S13" s="146"/>
      <c r="T13" s="146"/>
      <c r="U13" s="146"/>
      <c r="V13" s="146"/>
      <c r="W13" s="146"/>
      <c r="X13" s="146"/>
      <c r="Y13" s="146"/>
      <c r="Z13" s="146"/>
      <c r="AA13" s="146"/>
      <c r="AB13" s="146"/>
      <c r="AC13" s="147"/>
    </row>
    <row r="14" spans="1:29" ht="15.75" customHeight="1" thickBot="1" x14ac:dyDescent="0.3">
      <c r="A14" s="116"/>
      <c r="B14" s="148"/>
      <c r="C14" s="149"/>
      <c r="D14" s="149"/>
      <c r="E14" s="149"/>
      <c r="F14" s="149"/>
      <c r="G14" s="149"/>
      <c r="H14" s="149"/>
      <c r="I14" s="149"/>
      <c r="J14" s="149"/>
      <c r="K14" s="149"/>
      <c r="L14" s="149"/>
      <c r="M14" s="149"/>
      <c r="N14" s="149"/>
      <c r="O14" s="149"/>
      <c r="P14" s="149"/>
      <c r="Q14" s="149"/>
      <c r="R14" s="149"/>
      <c r="S14" s="149"/>
      <c r="T14" s="149"/>
      <c r="U14" s="149"/>
      <c r="V14" s="149"/>
      <c r="W14" s="149"/>
      <c r="X14" s="149"/>
      <c r="Y14" s="149"/>
      <c r="Z14" s="149"/>
      <c r="AA14" s="149"/>
      <c r="AB14" s="149"/>
      <c r="AC14" s="150"/>
    </row>
    <row r="15" spans="1:29" ht="15.75" thickBot="1" x14ac:dyDescent="0.3">
      <c r="A15" s="113"/>
      <c r="B15" s="113"/>
      <c r="C15" s="113"/>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row>
    <row r="16" spans="1:29" ht="15.75" x14ac:dyDescent="0.25">
      <c r="A16" s="113"/>
      <c r="B16" s="139" t="s">
        <v>48</v>
      </c>
      <c r="C16" s="140"/>
      <c r="D16" s="140"/>
      <c r="E16" s="140"/>
      <c r="F16" s="140"/>
      <c r="G16" s="140"/>
      <c r="H16" s="140"/>
      <c r="I16" s="140"/>
      <c r="J16" s="140"/>
      <c r="K16" s="140"/>
      <c r="L16" s="140"/>
      <c r="M16" s="140"/>
      <c r="N16" s="140"/>
      <c r="O16" s="140"/>
      <c r="P16" s="140"/>
      <c r="Q16" s="140"/>
      <c r="R16" s="140"/>
      <c r="S16" s="140"/>
      <c r="T16" s="140"/>
      <c r="U16" s="140"/>
      <c r="V16" s="140"/>
      <c r="W16" s="140"/>
      <c r="X16" s="140"/>
      <c r="Y16" s="140"/>
      <c r="Z16" s="140"/>
      <c r="AA16" s="140"/>
      <c r="AB16" s="140"/>
      <c r="AC16" s="141"/>
    </row>
    <row r="17" spans="1:29" ht="15" customHeight="1" x14ac:dyDescent="0.25">
      <c r="A17" s="113"/>
      <c r="B17" s="117" t="s">
        <v>49</v>
      </c>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9"/>
    </row>
    <row r="18" spans="1:29" ht="15" customHeight="1" x14ac:dyDescent="0.25">
      <c r="A18" s="113"/>
      <c r="B18" s="117"/>
      <c r="C18" s="118"/>
      <c r="D18" s="118"/>
      <c r="E18" s="118"/>
      <c r="F18" s="118"/>
      <c r="G18" s="118"/>
      <c r="H18" s="118"/>
      <c r="I18" s="118"/>
      <c r="J18" s="118"/>
      <c r="K18" s="118"/>
      <c r="L18" s="118"/>
      <c r="M18" s="118"/>
      <c r="N18" s="118"/>
      <c r="O18" s="118"/>
      <c r="P18" s="118"/>
      <c r="Q18" s="118"/>
      <c r="R18" s="118"/>
      <c r="S18" s="118"/>
      <c r="T18" s="118"/>
      <c r="U18" s="118"/>
      <c r="V18" s="118"/>
      <c r="W18" s="118"/>
      <c r="X18" s="118"/>
      <c r="Y18" s="118"/>
      <c r="Z18" s="118"/>
      <c r="AA18" s="118"/>
      <c r="AB18" s="118"/>
      <c r="AC18" s="119"/>
    </row>
    <row r="19" spans="1:29" ht="15.75" customHeight="1" thickBot="1" x14ac:dyDescent="0.3">
      <c r="A19" s="113"/>
      <c r="B19" s="120"/>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c r="AC19" s="122"/>
    </row>
    <row r="20" spans="1:29" x14ac:dyDescent="0.25">
      <c r="A20" s="113"/>
      <c r="B20" s="63"/>
      <c r="C20" s="63"/>
      <c r="D20" s="6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row>
    <row r="21" spans="1:29" x14ac:dyDescent="0.25">
      <c r="A21" s="114" t="s">
        <v>50</v>
      </c>
      <c r="B21" s="114"/>
      <c r="C21" s="115"/>
      <c r="D21" s="127" t="s">
        <v>51</v>
      </c>
      <c r="E21" s="128"/>
      <c r="F21" s="128"/>
      <c r="G21" s="129"/>
      <c r="H21" s="130" t="s">
        <v>51</v>
      </c>
      <c r="I21" s="128"/>
      <c r="J21" s="128"/>
      <c r="K21" s="129"/>
      <c r="L21" s="113"/>
      <c r="M21" s="113"/>
      <c r="N21" s="113"/>
      <c r="O21" s="113"/>
      <c r="P21" s="113"/>
      <c r="Q21" s="113"/>
      <c r="R21" s="113"/>
      <c r="S21" s="113"/>
      <c r="T21" s="113"/>
      <c r="U21" s="113"/>
      <c r="V21" s="113"/>
      <c r="W21" s="113"/>
      <c r="X21" s="113"/>
      <c r="Y21" s="113"/>
      <c r="Z21" s="113"/>
      <c r="AA21" s="113"/>
      <c r="AB21" s="113"/>
      <c r="AC21" s="113"/>
    </row>
    <row r="22" spans="1:29" x14ac:dyDescent="0.25">
      <c r="A22" s="114"/>
      <c r="B22" s="114"/>
      <c r="C22" s="115"/>
      <c r="D22" s="131" t="s">
        <v>52</v>
      </c>
      <c r="E22" s="132"/>
      <c r="F22" s="132"/>
      <c r="G22" s="133"/>
      <c r="H22" s="134" t="s">
        <v>53</v>
      </c>
      <c r="I22" s="132"/>
      <c r="J22" s="132"/>
      <c r="K22" s="133"/>
      <c r="L22" s="113"/>
      <c r="M22" s="113"/>
      <c r="N22" s="113"/>
      <c r="O22" s="113"/>
      <c r="P22" s="113"/>
      <c r="Q22" s="113"/>
      <c r="R22" s="113"/>
      <c r="S22" s="113"/>
      <c r="T22" s="113"/>
      <c r="U22" s="113"/>
      <c r="V22" s="113"/>
      <c r="W22" s="113"/>
      <c r="X22" s="113"/>
      <c r="Y22" s="113"/>
      <c r="Z22" s="113"/>
      <c r="AA22" s="113"/>
      <c r="AB22" s="113"/>
      <c r="AC22" s="113"/>
    </row>
    <row r="23" spans="1:29" x14ac:dyDescent="0.25">
      <c r="A23" s="114"/>
      <c r="B23" s="114"/>
      <c r="C23" s="115"/>
      <c r="D23" s="135" t="s">
        <v>37</v>
      </c>
      <c r="E23" s="136"/>
      <c r="F23" s="136"/>
      <c r="G23" s="137"/>
      <c r="H23" s="138" t="s">
        <v>37</v>
      </c>
      <c r="I23" s="136"/>
      <c r="J23" s="136"/>
      <c r="K23" s="137"/>
      <c r="L23" s="113"/>
      <c r="M23" s="113"/>
      <c r="N23" s="113"/>
      <c r="O23" s="113"/>
      <c r="P23" s="113"/>
      <c r="Q23" s="113"/>
      <c r="R23" s="113"/>
      <c r="S23" s="113"/>
      <c r="T23" s="113"/>
      <c r="U23" s="113"/>
      <c r="V23" s="113"/>
      <c r="W23" s="113"/>
      <c r="X23" s="113"/>
      <c r="Y23" s="113"/>
      <c r="Z23" s="113"/>
      <c r="AA23" s="113"/>
      <c r="AB23" s="113"/>
      <c r="AC23" s="113"/>
    </row>
    <row r="24" spans="1:29" x14ac:dyDescent="0.25">
      <c r="A24" s="114"/>
      <c r="B24" s="114"/>
      <c r="C24" s="115"/>
      <c r="D24" s="123" t="s">
        <v>54</v>
      </c>
      <c r="E24" s="124"/>
      <c r="F24" s="124"/>
      <c r="G24" s="125"/>
      <c r="H24" s="126" t="s">
        <v>55</v>
      </c>
      <c r="I24" s="124"/>
      <c r="J24" s="124"/>
      <c r="K24" s="125"/>
      <c r="L24" s="113"/>
      <c r="M24" s="113"/>
      <c r="N24" s="113"/>
      <c r="O24" s="113"/>
      <c r="P24" s="113"/>
      <c r="Q24" s="113"/>
      <c r="R24" s="113"/>
      <c r="S24" s="113"/>
      <c r="T24" s="113"/>
      <c r="U24" s="113"/>
      <c r="V24" s="113"/>
      <c r="W24" s="113"/>
      <c r="X24" s="113"/>
      <c r="Y24" s="113"/>
      <c r="Z24" s="113"/>
      <c r="AA24" s="113"/>
      <c r="AB24" s="113"/>
      <c r="AC24" s="113"/>
    </row>
  </sheetData>
  <sheetProtection algorithmName="SHA-512" hashValue="WlbuyvE+nNynn6WN/nMQ+wkpA2bMD0UoirTQUsyc9lCfjmiF5U6aC1BJUeFJGRZCOyVRnJP8dmttyn4SPSS8lg==" saltValue="y7BuGGjDZ9zjIXKYqScddA==" spinCount="100000" sheet="1" objects="1" scenarios="1"/>
  <mergeCells count="29">
    <mergeCell ref="B12:AC14"/>
    <mergeCell ref="A1:A2"/>
    <mergeCell ref="D11:AC11"/>
    <mergeCell ref="B1:AC1"/>
    <mergeCell ref="B2:C2"/>
    <mergeCell ref="D2:AC4"/>
    <mergeCell ref="D8:AC10"/>
    <mergeCell ref="A9:C11"/>
    <mergeCell ref="A3:C4"/>
    <mergeCell ref="A6:C7"/>
    <mergeCell ref="B5:C5"/>
    <mergeCell ref="D5:AC7"/>
    <mergeCell ref="B8:C8"/>
    <mergeCell ref="L20:AC24"/>
    <mergeCell ref="A21:C24"/>
    <mergeCell ref="E20:K20"/>
    <mergeCell ref="A12:A14"/>
    <mergeCell ref="A16:A20"/>
    <mergeCell ref="B17:AC19"/>
    <mergeCell ref="D24:G24"/>
    <mergeCell ref="H24:K24"/>
    <mergeCell ref="D21:G21"/>
    <mergeCell ref="H21:K21"/>
    <mergeCell ref="D22:G22"/>
    <mergeCell ref="H22:K22"/>
    <mergeCell ref="D23:G23"/>
    <mergeCell ref="H23:K23"/>
    <mergeCell ref="B16:AC16"/>
    <mergeCell ref="A15:AC15"/>
  </mergeCells>
  <pageMargins left="0.7" right="0.7" top="0.75" bottom="0.75" header="0.3" footer="0.3"/>
  <pageSetup paperSize="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3B423-006B-46D7-B4B9-129E393AF10D}">
  <dimension ref="A2:O17"/>
  <sheetViews>
    <sheetView tabSelected="1" workbookViewId="0">
      <pane xSplit="1" topLeftCell="I1" activePane="topRight" state="frozen"/>
      <selection activeCell="A7" sqref="A7"/>
      <selection pane="topRight" activeCell="J14" sqref="J14"/>
    </sheetView>
  </sheetViews>
  <sheetFormatPr defaultColWidth="8.85546875" defaultRowHeight="15" x14ac:dyDescent="0.25"/>
  <cols>
    <col min="1" max="1" width="63" bestFit="1" customWidth="1"/>
    <col min="2" max="2" width="114.42578125" hidden="1" customWidth="1"/>
    <col min="3" max="3" width="102.28515625" hidden="1" customWidth="1"/>
    <col min="4" max="4" width="105.42578125" customWidth="1"/>
    <col min="5" max="5" width="58.7109375" customWidth="1"/>
    <col min="6" max="6" width="29.140625" customWidth="1"/>
    <col min="7" max="7" width="33" customWidth="1"/>
    <col min="8" max="8" width="49" customWidth="1"/>
    <col min="9" max="9" width="50.85546875" customWidth="1"/>
    <col min="10" max="10" width="29.7109375" customWidth="1"/>
    <col min="11" max="11" width="32.7109375" customWidth="1"/>
    <col min="12" max="12" width="103.42578125" customWidth="1"/>
    <col min="13" max="13" width="122.140625" customWidth="1"/>
    <col min="14" max="14" width="29.42578125" customWidth="1"/>
    <col min="15" max="15" width="32.28515625" customWidth="1"/>
  </cols>
  <sheetData>
    <row r="2" spans="1:15" x14ac:dyDescent="0.25">
      <c r="A2" s="167" t="s">
        <v>56</v>
      </c>
      <c r="B2" s="169" t="s">
        <v>57</v>
      </c>
      <c r="C2" s="170"/>
      <c r="D2" s="169" t="s">
        <v>58</v>
      </c>
      <c r="E2" s="170"/>
      <c r="F2" s="169" t="s">
        <v>59</v>
      </c>
      <c r="G2" s="170"/>
      <c r="H2" s="169" t="s">
        <v>60</v>
      </c>
      <c r="I2" s="170"/>
      <c r="J2" s="169" t="s">
        <v>61</v>
      </c>
      <c r="K2" s="170"/>
      <c r="L2" s="169" t="s">
        <v>62</v>
      </c>
      <c r="M2" s="170"/>
      <c r="N2" s="169" t="s">
        <v>63</v>
      </c>
      <c r="O2" s="170"/>
    </row>
    <row r="3" spans="1:15" x14ac:dyDescent="0.25">
      <c r="A3" s="168"/>
      <c r="B3" s="30" t="s">
        <v>64</v>
      </c>
      <c r="C3" s="31" t="s">
        <v>65</v>
      </c>
      <c r="D3" s="30" t="s">
        <v>64</v>
      </c>
      <c r="E3" s="31" t="s">
        <v>65</v>
      </c>
      <c r="F3" s="30" t="s">
        <v>64</v>
      </c>
      <c r="G3" s="31" t="s">
        <v>65</v>
      </c>
      <c r="H3" s="30" t="s">
        <v>64</v>
      </c>
      <c r="I3" s="31" t="s">
        <v>65</v>
      </c>
      <c r="J3" s="30" t="s">
        <v>64</v>
      </c>
      <c r="K3" s="31" t="s">
        <v>65</v>
      </c>
      <c r="L3" s="32" t="s">
        <v>64</v>
      </c>
      <c r="M3" s="31" t="s">
        <v>65</v>
      </c>
      <c r="N3" s="30" t="s">
        <v>64</v>
      </c>
      <c r="O3" s="31" t="s">
        <v>65</v>
      </c>
    </row>
    <row r="4" spans="1:15" x14ac:dyDescent="0.25">
      <c r="A4" s="33" t="s">
        <v>16</v>
      </c>
      <c r="B4" s="34"/>
      <c r="C4" s="35"/>
      <c r="D4" s="36" t="s">
        <v>66</v>
      </c>
      <c r="E4" s="37" t="s">
        <v>67</v>
      </c>
      <c r="F4" s="34" t="s">
        <v>68</v>
      </c>
      <c r="G4" s="37" t="s">
        <v>69</v>
      </c>
      <c r="H4" s="34" t="s">
        <v>70</v>
      </c>
      <c r="I4" s="37" t="s">
        <v>71</v>
      </c>
      <c r="J4" s="38" t="s">
        <v>72</v>
      </c>
      <c r="K4" s="39" t="s">
        <v>73</v>
      </c>
      <c r="L4" s="40"/>
      <c r="M4" s="41"/>
      <c r="N4" s="38"/>
      <c r="O4" s="35"/>
    </row>
    <row r="5" spans="1:15" x14ac:dyDescent="0.25">
      <c r="A5" s="33" t="s">
        <v>74</v>
      </c>
      <c r="B5" s="63" t="s">
        <v>75</v>
      </c>
      <c r="C5" s="43"/>
      <c r="D5" s="44"/>
      <c r="E5" s="45"/>
      <c r="F5" s="44" t="s">
        <v>76</v>
      </c>
      <c r="G5" s="43" t="s">
        <v>77</v>
      </c>
      <c r="H5" s="51" t="s">
        <v>78</v>
      </c>
      <c r="I5" s="37" t="s">
        <v>79</v>
      </c>
      <c r="J5" s="38"/>
      <c r="K5" s="39"/>
      <c r="L5" s="40"/>
      <c r="M5" s="47"/>
      <c r="N5" s="42"/>
      <c r="O5" s="45"/>
    </row>
    <row r="6" spans="1:15" x14ac:dyDescent="0.25">
      <c r="A6" s="33" t="s">
        <v>80</v>
      </c>
      <c r="B6" s="44" t="s">
        <v>81</v>
      </c>
      <c r="C6" s="43" t="s">
        <v>82</v>
      </c>
      <c r="D6" s="44"/>
      <c r="E6" s="45"/>
      <c r="F6" s="44"/>
      <c r="G6" s="45"/>
      <c r="H6" s="44"/>
      <c r="I6" s="45"/>
      <c r="J6" s="42"/>
      <c r="K6" s="46"/>
      <c r="L6" s="40"/>
      <c r="M6" s="47"/>
      <c r="N6" s="42" t="s">
        <v>83</v>
      </c>
      <c r="O6" s="48" t="s">
        <v>84</v>
      </c>
    </row>
    <row r="7" spans="1:15" x14ac:dyDescent="0.25">
      <c r="A7" s="33" t="s">
        <v>85</v>
      </c>
      <c r="B7" s="44" t="s">
        <v>86</v>
      </c>
      <c r="C7" s="48" t="s">
        <v>87</v>
      </c>
      <c r="D7" s="44"/>
      <c r="E7" s="43"/>
      <c r="F7" s="50" t="s">
        <v>88</v>
      </c>
      <c r="G7" s="48" t="s">
        <v>89</v>
      </c>
      <c r="H7" s="44"/>
      <c r="I7" s="45"/>
      <c r="J7" s="42"/>
      <c r="K7" s="46"/>
      <c r="L7" s="44" t="s">
        <v>90</v>
      </c>
      <c r="M7" s="48" t="s">
        <v>91</v>
      </c>
      <c r="N7" s="42"/>
      <c r="O7" s="45"/>
    </row>
    <row r="8" spans="1:15" x14ac:dyDescent="0.25">
      <c r="A8" s="33" t="s">
        <v>92</v>
      </c>
      <c r="B8" s="44" t="s">
        <v>93</v>
      </c>
      <c r="C8" s="45"/>
      <c r="D8" s="44"/>
      <c r="E8" s="45"/>
      <c r="F8" s="51" t="s">
        <v>94</v>
      </c>
      <c r="G8" s="37" t="s">
        <v>95</v>
      </c>
      <c r="H8" s="44"/>
      <c r="I8" s="45"/>
      <c r="J8" s="42"/>
      <c r="K8" s="46"/>
      <c r="L8" s="40"/>
      <c r="M8" s="47"/>
      <c r="N8" s="42"/>
      <c r="O8" s="45"/>
    </row>
    <row r="9" spans="1:15" x14ac:dyDescent="0.25">
      <c r="A9" s="33" t="s">
        <v>96</v>
      </c>
      <c r="B9" s="44" t="s">
        <v>97</v>
      </c>
      <c r="C9" s="43" t="s">
        <v>98</v>
      </c>
      <c r="D9" s="44" t="s">
        <v>99</v>
      </c>
      <c r="E9" s="43" t="s">
        <v>100</v>
      </c>
      <c r="F9" s="50" t="s">
        <v>88</v>
      </c>
      <c r="G9" s="43" t="s">
        <v>89</v>
      </c>
      <c r="H9" s="44"/>
      <c r="I9" s="45"/>
      <c r="J9" s="42"/>
      <c r="K9" s="46"/>
      <c r="L9" s="40"/>
      <c r="M9" s="47"/>
      <c r="N9" s="42"/>
      <c r="O9" s="45"/>
    </row>
    <row r="10" spans="1:15" x14ac:dyDescent="0.25">
      <c r="A10" s="33" t="s">
        <v>101</v>
      </c>
      <c r="B10" s="44" t="s">
        <v>102</v>
      </c>
      <c r="C10" s="43" t="s">
        <v>103</v>
      </c>
      <c r="D10" s="44" t="s">
        <v>104</v>
      </c>
      <c r="E10" s="43" t="s">
        <v>105</v>
      </c>
      <c r="F10" s="50" t="s">
        <v>68</v>
      </c>
      <c r="G10" s="48" t="s">
        <v>69</v>
      </c>
      <c r="H10" s="44" t="s">
        <v>106</v>
      </c>
      <c r="I10" s="43" t="s">
        <v>107</v>
      </c>
      <c r="J10" s="42"/>
      <c r="K10" s="46"/>
      <c r="L10" s="40"/>
      <c r="M10" s="47"/>
      <c r="N10" s="42"/>
      <c r="O10" s="45"/>
    </row>
    <row r="11" spans="1:15" x14ac:dyDescent="0.25">
      <c r="A11" s="33" t="s">
        <v>108</v>
      </c>
      <c r="B11" s="44" t="s">
        <v>109</v>
      </c>
      <c r="C11" s="43" t="s">
        <v>110</v>
      </c>
      <c r="D11" s="44" t="s">
        <v>111</v>
      </c>
      <c r="E11" s="43" t="s">
        <v>112</v>
      </c>
      <c r="F11" s="51" t="s">
        <v>113</v>
      </c>
      <c r="G11" s="43" t="s">
        <v>114</v>
      </c>
      <c r="H11" s="44"/>
      <c r="I11" s="43"/>
      <c r="J11" s="42"/>
      <c r="K11" s="46"/>
      <c r="L11" s="40"/>
      <c r="M11" s="47"/>
      <c r="N11" s="42"/>
      <c r="O11" s="45"/>
    </row>
    <row r="12" spans="1:15" x14ac:dyDescent="0.25">
      <c r="A12" s="33" t="s">
        <v>115</v>
      </c>
      <c r="B12" s="44" t="s">
        <v>116</v>
      </c>
      <c r="C12" s="61" t="s">
        <v>117</v>
      </c>
      <c r="D12" s="44" t="s">
        <v>118</v>
      </c>
      <c r="E12" s="43" t="s">
        <v>119</v>
      </c>
      <c r="F12" s="50" t="s">
        <v>94</v>
      </c>
      <c r="G12" s="48" t="s">
        <v>95</v>
      </c>
      <c r="H12" s="44" t="s">
        <v>106</v>
      </c>
      <c r="I12" s="43" t="s">
        <v>107</v>
      </c>
      <c r="J12" s="42"/>
      <c r="K12" s="46"/>
      <c r="L12" s="40"/>
      <c r="M12" s="47"/>
      <c r="N12" s="42"/>
      <c r="O12" s="45"/>
    </row>
    <row r="13" spans="1:15" x14ac:dyDescent="0.25">
      <c r="A13" s="33" t="s">
        <v>120</v>
      </c>
      <c r="B13" s="44" t="s">
        <v>121</v>
      </c>
      <c r="C13" s="43"/>
      <c r="D13" s="44" t="s">
        <v>122</v>
      </c>
      <c r="E13" s="48" t="s">
        <v>123</v>
      </c>
      <c r="F13" s="50" t="s">
        <v>68</v>
      </c>
      <c r="G13" s="48" t="s">
        <v>69</v>
      </c>
      <c r="H13" s="34"/>
      <c r="I13" s="37"/>
      <c r="J13" s="42"/>
      <c r="K13" s="46"/>
      <c r="L13" s="49"/>
      <c r="M13" s="47"/>
      <c r="N13" s="42"/>
      <c r="O13" s="45"/>
    </row>
    <row r="14" spans="1:15" x14ac:dyDescent="0.25">
      <c r="A14" s="33" t="s">
        <v>124</v>
      </c>
      <c r="B14" s="44"/>
      <c r="C14" s="43"/>
      <c r="D14" s="44" t="s">
        <v>125</v>
      </c>
      <c r="E14" s="43" t="s">
        <v>126</v>
      </c>
      <c r="F14" s="44"/>
      <c r="G14" s="43"/>
      <c r="H14" s="44"/>
      <c r="I14" s="45"/>
      <c r="J14" s="42"/>
      <c r="K14" s="46"/>
      <c r="L14" s="49"/>
      <c r="M14" s="47"/>
      <c r="N14" s="42"/>
      <c r="O14" s="45"/>
    </row>
    <row r="15" spans="1:15" x14ac:dyDescent="0.25">
      <c r="A15" s="33" t="s">
        <v>127</v>
      </c>
      <c r="B15" s="44" t="s">
        <v>128</v>
      </c>
      <c r="C15" s="61" t="s">
        <v>129</v>
      </c>
      <c r="D15" s="44" t="s">
        <v>125</v>
      </c>
      <c r="E15" s="43" t="s">
        <v>126</v>
      </c>
      <c r="F15" s="60" t="s">
        <v>130</v>
      </c>
      <c r="G15" s="48" t="s">
        <v>131</v>
      </c>
      <c r="H15" s="44"/>
      <c r="I15" s="45"/>
      <c r="J15" s="42"/>
      <c r="K15" s="46"/>
      <c r="L15" s="49"/>
      <c r="M15" s="47"/>
      <c r="N15" s="42"/>
      <c r="O15" s="45"/>
    </row>
    <row r="16" spans="1:15" x14ac:dyDescent="0.25">
      <c r="A16" s="33" t="s">
        <v>29</v>
      </c>
      <c r="B16" s="44" t="s">
        <v>128</v>
      </c>
      <c r="C16" s="62" t="s">
        <v>129</v>
      </c>
      <c r="D16" s="44" t="s">
        <v>125</v>
      </c>
      <c r="E16" s="43" t="s">
        <v>126</v>
      </c>
      <c r="F16" s="59" t="s">
        <v>132</v>
      </c>
      <c r="G16" s="43" t="s">
        <v>133</v>
      </c>
      <c r="H16" s="44"/>
      <c r="I16" s="45"/>
      <c r="J16" s="42"/>
      <c r="K16" s="46"/>
      <c r="L16" s="49"/>
      <c r="M16" s="47"/>
      <c r="N16" s="42"/>
      <c r="O16" s="45"/>
    </row>
    <row r="17" spans="1:15" x14ac:dyDescent="0.25">
      <c r="A17" s="33" t="s">
        <v>134</v>
      </c>
      <c r="B17" s="64" t="s">
        <v>135</v>
      </c>
      <c r="C17" s="62" t="s">
        <v>129</v>
      </c>
      <c r="D17" s="44" t="s">
        <v>136</v>
      </c>
      <c r="E17" s="43" t="s">
        <v>137</v>
      </c>
      <c r="F17" s="50" t="s">
        <v>138</v>
      </c>
      <c r="G17" s="48" t="s">
        <v>139</v>
      </c>
      <c r="H17" s="44" t="s">
        <v>140</v>
      </c>
      <c r="I17" s="43" t="s">
        <v>141</v>
      </c>
      <c r="J17" s="42"/>
      <c r="K17" s="46"/>
      <c r="L17" s="49"/>
      <c r="M17" s="47"/>
      <c r="N17" s="42"/>
      <c r="O17" s="45"/>
    </row>
  </sheetData>
  <sheetProtection algorithmName="SHA-512" hashValue="VtrnLhW4iT22UvgrcS2lz9IwzaYiyFDgVoP9UOMlx/Gf6ghZ6MJ7XL7u5B8qnzwG2p1xthsoq+KDxEk7LLNITQ==" saltValue="z0Zg24Cd9PicMh/E3XrCRQ==" spinCount="100000" sheet="1" objects="1" scenarios="1"/>
  <mergeCells count="8">
    <mergeCell ref="A2:A3"/>
    <mergeCell ref="F2:G2"/>
    <mergeCell ref="H2:I2"/>
    <mergeCell ref="L2:M2"/>
    <mergeCell ref="N2:O2"/>
    <mergeCell ref="J2:K2"/>
    <mergeCell ref="B2:C2"/>
    <mergeCell ref="D2:E2"/>
  </mergeCells>
  <hyperlinks>
    <hyperlink ref="I4" r:id="rId1" xr:uid="{F98C1EDC-159B-4F54-9949-F3914787BED4}"/>
    <hyperlink ref="I10" r:id="rId2" xr:uid="{125087DD-8BAA-40F0-9C91-7A09FC1B1BF8}"/>
    <hyperlink ref="I17" r:id="rId3" display="midries@sgu.edu/sthoma10@sgu.edu/CTaylor2@sgu.edu" xr:uid="{536A3738-D36F-44BB-9AD1-804E17DE9A59}"/>
    <hyperlink ref="I12" r:id="rId4" display="sthoma10@sgu.edu " xr:uid="{AE4D4B08-5905-46BD-8937-088AD88E4A00}"/>
    <hyperlink ref="K4" r:id="rId5" display="midries@sgu.edu; mmaj@sgu.edu" xr:uid="{4E7A8E52-8DFE-46DF-BE13-436E483601BC}"/>
    <hyperlink ref="G4" r:id="rId6" xr:uid="{347534B7-312D-4D45-914F-D3D22C72FBDE}"/>
    <hyperlink ref="E4" r:id="rId7" xr:uid="{72D5E18B-3C20-49DD-90D0-70102D793E9F}"/>
    <hyperlink ref="E10" r:id="rId8" xr:uid="{82BB7BD8-101C-44CB-9FFB-2E9B7F9BF120}"/>
    <hyperlink ref="E11" r:id="rId9" xr:uid="{C8BEEA03-79B7-47F8-974C-C99BB2AF3A78}"/>
    <hyperlink ref="E14" r:id="rId10" xr:uid="{509334C4-5E99-4396-B28F-4A2A53383304}"/>
    <hyperlink ref="E15" r:id="rId11" xr:uid="{2900A526-409E-48C9-BC28-AA05E9C8F62E}"/>
    <hyperlink ref="E16" r:id="rId12" xr:uid="{0F83ED23-8322-407F-B0EB-EE9EA425AF9F}"/>
    <hyperlink ref="E13" r:id="rId13" xr:uid="{F7805AFD-AB30-423B-8C23-E36A0BDAE7BA}"/>
    <hyperlink ref="G13" r:id="rId14" xr:uid="{11D88DF8-0320-40E8-AFA4-0AE7B8C7DC3A}"/>
    <hyperlink ref="G5" r:id="rId15" xr:uid="{FB4E66EE-EEFE-43BC-925E-B941CE424A46}"/>
    <hyperlink ref="G7" r:id="rId16" xr:uid="{909EE099-C904-42E8-B5B0-3EA79A3EF1A6}"/>
    <hyperlink ref="C11" r:id="rId17" xr:uid="{72DB8F88-E2E0-4974-AE63-69A0714F4CFE}"/>
    <hyperlink ref="O6" r:id="rId18" xr:uid="{CED37657-BFC5-4EB5-9E62-CCB59887D3F0}"/>
    <hyperlink ref="E9" r:id="rId19" xr:uid="{8D242D3B-98ED-451E-912D-479101BB2A90}"/>
    <hyperlink ref="E17" r:id="rId20" xr:uid="{4281D6C1-AEEF-4F90-A75E-C36419836154}"/>
    <hyperlink ref="M7" r:id="rId21" display="DKirkby@sgu.edu,WKolbinger@sgu.edu,NLeton@sgu.edu,EJohnson3@sgu.edu, RCumming@sgu.edu, jmckenzi@sgu.edu,SMaity@sgu.edu" xr:uid="{438CC4F1-E310-4620-9273-6BC6A4238DAF}"/>
    <hyperlink ref="G15" r:id="rId22" xr:uid="{B1766F15-8480-4486-AA59-87786A7F6114}"/>
    <hyperlink ref="G8" r:id="rId23" xr:uid="{787E2929-47FE-491C-8865-44880BDC864A}"/>
    <hyperlink ref="G9" r:id="rId24" xr:uid="{7BD6F732-1877-47AC-8282-3F99B6F6962F}"/>
    <hyperlink ref="G11" r:id="rId25" xr:uid="{4C61BEAB-00A4-40A0-AC94-2DF70426CEAF}"/>
    <hyperlink ref="G10" r:id="rId26" xr:uid="{1B9E88BF-3889-426E-B64D-3E9A431AC366}"/>
    <hyperlink ref="G12" r:id="rId27" xr:uid="{AA383776-4A29-4154-8848-0DE26AC3340E}"/>
    <hyperlink ref="I5" r:id="rId28" xr:uid="{7680D2A7-37C2-4FF4-BB2F-21C322690EFE}"/>
    <hyperlink ref="C9" r:id="rId29" xr:uid="{9927671E-8DFD-4ABD-ABAF-1AFD32329EDD}"/>
    <hyperlink ref="C10" r:id="rId30" xr:uid="{A5DB47BB-2ED9-45F1-9A41-AADBFA380B03}"/>
    <hyperlink ref="G17" r:id="rId31" xr:uid="{CE949808-060C-4C65-9DC5-2D38686D5A98}"/>
    <hyperlink ref="E12" r:id="rId32" xr:uid="{DEE531C4-A93F-4CC0-BAF3-8BA165D8A8D9}"/>
    <hyperlink ref="C7" r:id="rId33" xr:uid="{312108BC-EDA9-4370-A91B-6F8FF578C0C8}"/>
    <hyperlink ref="C6" r:id="rId34" xr:uid="{2D7E61E9-418F-4600-BA56-5971F3E74E0C}"/>
    <hyperlink ref="C15" r:id="rId35" xr:uid="{449C16B2-B190-42A5-9D1E-8DE87BA8FF31}"/>
    <hyperlink ref="C16" r:id="rId36" xr:uid="{8ECABC60-6538-485D-8772-2749927ACA24}"/>
    <hyperlink ref="C17" r:id="rId37" xr:uid="{5CC9EE1B-1D6B-4559-B1F2-4C05A0EFFEB7}"/>
    <hyperlink ref="C12" r:id="rId38" xr:uid="{B42A5CC0-1EC7-47BF-8063-6AA04E5C8B68}"/>
  </hyperlinks>
  <pageMargins left="0.7" right="0.7" top="0.75" bottom="0.75" header="0.3" footer="0.3"/>
  <pageSetup orientation="portrait" verticalDpi="597"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START HERE</vt:lpstr>
      <vt:lpstr>Profile</vt:lpstr>
      <vt:lpstr>Declaration</vt:lpstr>
      <vt:lpstr>Faculty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Clunes</dc:creator>
  <cp:keywords/>
  <dc:description/>
  <cp:lastModifiedBy>Alvin Chitterman</cp:lastModifiedBy>
  <cp:revision/>
  <dcterms:created xsi:type="dcterms:W3CDTF">2022-05-25T21:10:48Z</dcterms:created>
  <dcterms:modified xsi:type="dcterms:W3CDTF">2026-03-02T14:54:21Z</dcterms:modified>
  <cp:category/>
  <cp:contentStatus/>
</cp:coreProperties>
</file>